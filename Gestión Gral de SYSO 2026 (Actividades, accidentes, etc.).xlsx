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G:\Mi unidad\1- Prevencionista\1- Generales TP\"/>
    </mc:Choice>
  </mc:AlternateContent>
  <xr:revisionPtr revIDLastSave="0" documentId="13_ncr:1_{4D16D334-E419-4EA5-9D00-772BB3884A66}" xr6:coauthVersionLast="47" xr6:coauthVersionMax="47" xr10:uidLastSave="{00000000-0000-0000-0000-000000000000}"/>
  <bookViews>
    <workbookView xWindow="-108" yWindow="-108" windowWidth="23256" windowHeight="12456" tabRatio="926" activeTab="3" xr2:uid="{00000000-000D-0000-FFFF-FFFF00000000}"/>
  </bookViews>
  <sheets>
    <sheet name="DasbhboardPrevencionista" sheetId="9" r:id="rId1"/>
    <sheet name="Planificación Anual" sheetId="3" r:id="rId2"/>
    <sheet name="Vista Mensual" sheetId="8" r:id="rId3"/>
    <sheet name="Vista Semanal" sheetId="4" r:id="rId4"/>
    <sheet name="Accidentes" sheetId="10" r:id="rId5"/>
    <sheet name="Listas" sheetId="6" r:id="rId6"/>
    <sheet name="_Lookup" sheetId="5" state="hidden" r:id="rId7"/>
  </sheets>
  <definedNames>
    <definedName name="_xlnm._FilterDatabase" localSheetId="4" hidden="1">Accidentes!$A$3:$I$3</definedName>
    <definedName name="_xlnm._FilterDatabase" localSheetId="1" hidden="1">'Planificación Anual'!$A$3:$H$180</definedName>
    <definedName name="_xlnm._FilterDatabase" localSheetId="2" hidden="1">'Vista Mensual'!$A$1:$F$4</definedName>
    <definedName name="_xlnm.Print_Area" localSheetId="0">DasbhboardPrevencionista!$A$1:$D$65</definedName>
    <definedName name="_xlnm.Print_Area" localSheetId="1">'Planificación Anual'!$A$1:$H$146</definedName>
    <definedName name="_xlnm.Print_Area" localSheetId="2">'Vista Mensual'!$A$1:$F$59</definedName>
    <definedName name="_xlnm.Print_Area" localSheetId="3">'Vista Semanal'!$A$1:$E$193</definedName>
    <definedName name="SegmentaciónDeDatos_EMPRESA">#N/A</definedName>
    <definedName name="SegmentaciónDeDatos_MES">#N/A</definedName>
    <definedName name="SegmentaciónDeDatos_SEMANA">#N/A</definedName>
  </definedNames>
  <calcPr calcId="191029"/>
  <pivotCaches>
    <pivotCache cacheId="6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4" l="1"/>
  <c r="E155" i="3"/>
  <c r="E156" i="3" s="1"/>
  <c r="B154" i="3"/>
  <c r="A154" i="3"/>
  <c r="A155" i="3"/>
  <c r="F92" i="3"/>
  <c r="E135" i="3"/>
  <c r="E136" i="3" s="1"/>
  <c r="E131" i="3"/>
  <c r="E132" i="3" s="1"/>
  <c r="E133" i="3" s="1"/>
  <c r="E128" i="3"/>
  <c r="A128" i="3" s="1"/>
  <c r="E126" i="3"/>
  <c r="A126" i="3" s="1"/>
  <c r="E116" i="3"/>
  <c r="E117" i="3" s="1"/>
  <c r="E118" i="3" s="1"/>
  <c r="E119" i="3" s="1"/>
  <c r="E120" i="3" s="1"/>
  <c r="E121" i="3" s="1"/>
  <c r="E122" i="3" s="1"/>
  <c r="E123" i="3" s="1"/>
  <c r="E124" i="3" s="1"/>
  <c r="F115" i="3"/>
  <c r="A115" i="3"/>
  <c r="B115" i="3"/>
  <c r="A31" i="3"/>
  <c r="A29" i="3"/>
  <c r="A30" i="3"/>
  <c r="A4" i="4"/>
  <c r="I2" i="6" a="1"/>
  <c r="I2" i="6" s="1"/>
  <c r="E176" i="3"/>
  <c r="E177" i="3" s="1"/>
  <c r="E178" i="3" s="1"/>
  <c r="E179" i="3" s="1"/>
  <c r="E180" i="3" s="1"/>
  <c r="B30" i="3"/>
  <c r="B31" i="3"/>
  <c r="B9" i="3"/>
  <c r="B10" i="3"/>
  <c r="B11" i="3"/>
  <c r="B12" i="3"/>
  <c r="B13" i="3"/>
  <c r="B14" i="3"/>
  <c r="B15" i="3"/>
  <c r="B16" i="3"/>
  <c r="B17" i="3"/>
  <c r="B18" i="3"/>
  <c r="B19" i="3"/>
  <c r="B37" i="3"/>
  <c r="B40" i="3"/>
  <c r="B81" i="3"/>
  <c r="B95" i="3"/>
  <c r="B114" i="3"/>
  <c r="B147" i="3"/>
  <c r="B148" i="3"/>
  <c r="B149" i="3"/>
  <c r="B150" i="3"/>
  <c r="B151" i="3"/>
  <c r="B152" i="3"/>
  <c r="B153" i="3"/>
  <c r="B174" i="3"/>
  <c r="A9" i="3"/>
  <c r="A10" i="3"/>
  <c r="A11" i="3"/>
  <c r="A12" i="3"/>
  <c r="A13" i="3"/>
  <c r="A14" i="3"/>
  <c r="A15" i="3"/>
  <c r="A16" i="3"/>
  <c r="A17" i="3"/>
  <c r="A18" i="3"/>
  <c r="A19" i="3"/>
  <c r="A37" i="3"/>
  <c r="A40" i="3"/>
  <c r="A81" i="3"/>
  <c r="A95" i="3"/>
  <c r="A114" i="3"/>
  <c r="A147" i="3"/>
  <c r="A148" i="3"/>
  <c r="A149" i="3"/>
  <c r="A150" i="3"/>
  <c r="A151" i="3"/>
  <c r="A152" i="3"/>
  <c r="A153" i="3"/>
  <c r="A174" i="3"/>
  <c r="E157" i="3" l="1"/>
  <c r="B156" i="3"/>
  <c r="A156" i="3"/>
  <c r="A157" i="3"/>
  <c r="E158" i="3"/>
  <c r="B157" i="3"/>
  <c r="B155" i="3"/>
  <c r="E137" i="3"/>
  <c r="B137" i="3" s="1"/>
  <c r="A136" i="3"/>
  <c r="B136" i="3"/>
  <c r="A129" i="3"/>
  <c r="B129" i="3"/>
  <c r="A132" i="3"/>
  <c r="B132" i="3"/>
  <c r="B130" i="3"/>
  <c r="B128" i="3"/>
  <c r="A130" i="3"/>
  <c r="E127" i="3"/>
  <c r="A127" i="3" s="1"/>
  <c r="B126" i="3"/>
  <c r="A122" i="3"/>
  <c r="B122" i="3"/>
  <c r="E96" i="3"/>
  <c r="E82" i="3"/>
  <c r="E41" i="3"/>
  <c r="E99" i="3"/>
  <c r="B99" i="3" s="1"/>
  <c r="E101" i="3"/>
  <c r="B101" i="3" s="1"/>
  <c r="E102" i="3"/>
  <c r="B102" i="3" s="1"/>
  <c r="E103" i="3"/>
  <c r="B103" i="3" s="1"/>
  <c r="E104" i="3"/>
  <c r="B104" i="3" s="1"/>
  <c r="E105" i="3"/>
  <c r="B105" i="3" s="1"/>
  <c r="E106" i="3"/>
  <c r="B106" i="3" s="1"/>
  <c r="E107" i="3"/>
  <c r="B107" i="3" s="1"/>
  <c r="E108" i="3"/>
  <c r="B108" i="3" s="1"/>
  <c r="E109" i="3"/>
  <c r="B109" i="3" s="1"/>
  <c r="E110" i="3"/>
  <c r="B110" i="3" s="1"/>
  <c r="E111" i="3"/>
  <c r="B111" i="3" s="1"/>
  <c r="E112" i="3"/>
  <c r="B112" i="3" s="1"/>
  <c r="E113" i="3"/>
  <c r="B113" i="3" s="1"/>
  <c r="E100" i="3"/>
  <c r="B100" i="3" s="1"/>
  <c r="E98" i="3"/>
  <c r="B98" i="3" s="1"/>
  <c r="E33" i="3"/>
  <c r="B33" i="3" s="1"/>
  <c r="E34" i="3"/>
  <c r="B34" i="3" s="1"/>
  <c r="E35" i="3"/>
  <c r="B35" i="3" s="1"/>
  <c r="E36" i="3"/>
  <c r="B36" i="3" s="1"/>
  <c r="E38" i="3"/>
  <c r="B38" i="3" s="1"/>
  <c r="E39" i="3"/>
  <c r="B39" i="3" s="1"/>
  <c r="E32" i="3"/>
  <c r="B32" i="3" s="1"/>
  <c r="E5" i="3"/>
  <c r="E6" i="3"/>
  <c r="E7" i="3"/>
  <c r="E8" i="3"/>
  <c r="E4" i="3"/>
  <c r="A158" i="3" l="1"/>
  <c r="E159" i="3"/>
  <c r="B158" i="3"/>
  <c r="B127" i="3"/>
  <c r="E138" i="3"/>
  <c r="A137" i="3"/>
  <c r="A131" i="3"/>
  <c r="B131" i="3"/>
  <c r="A133" i="3"/>
  <c r="B133" i="3"/>
  <c r="A119" i="3"/>
  <c r="B119" i="3"/>
  <c r="A123" i="3"/>
  <c r="B123" i="3"/>
  <c r="A6" i="3"/>
  <c r="B6" i="3"/>
  <c r="A5" i="3"/>
  <c r="B5" i="3"/>
  <c r="A41" i="3"/>
  <c r="B41" i="3"/>
  <c r="A8" i="3"/>
  <c r="B8" i="3"/>
  <c r="A82" i="3"/>
  <c r="B82" i="3"/>
  <c r="B4" i="3"/>
  <c r="A7" i="3"/>
  <c r="B7" i="3"/>
  <c r="A96" i="3"/>
  <c r="B96" i="3"/>
  <c r="A35" i="3"/>
  <c r="A106" i="3"/>
  <c r="A98" i="3"/>
  <c r="A103" i="3"/>
  <c r="A113" i="3"/>
  <c r="A101" i="3"/>
  <c r="A38" i="3"/>
  <c r="A108" i="3"/>
  <c r="A36" i="3"/>
  <c r="A34" i="3"/>
  <c r="A105" i="3"/>
  <c r="A32" i="3"/>
  <c r="A110" i="3"/>
  <c r="A107" i="3"/>
  <c r="A33" i="3"/>
  <c r="A104" i="3"/>
  <c r="A4" i="3"/>
  <c r="A100" i="3"/>
  <c r="A102" i="3"/>
  <c r="A112" i="3"/>
  <c r="A99" i="3"/>
  <c r="A111" i="3"/>
  <c r="A39" i="3"/>
  <c r="A109" i="3"/>
  <c r="E42" i="3"/>
  <c r="B42" i="3" s="1"/>
  <c r="E83" i="3"/>
  <c r="E97" i="3"/>
  <c r="A159" i="3" l="1"/>
  <c r="E160" i="3"/>
  <c r="E161" i="3" s="1"/>
  <c r="B159" i="3"/>
  <c r="E139" i="3"/>
  <c r="B138" i="3"/>
  <c r="A138" i="3"/>
  <c r="A120" i="3"/>
  <c r="B120" i="3"/>
  <c r="A124" i="3"/>
  <c r="B124" i="3"/>
  <c r="A97" i="3"/>
  <c r="B97" i="3"/>
  <c r="A83" i="3"/>
  <c r="B83" i="3"/>
  <c r="E43" i="3"/>
  <c r="E44" i="3" s="1"/>
  <c r="A42" i="3"/>
  <c r="E84" i="3"/>
  <c r="E162" i="3" l="1"/>
  <c r="A161" i="3"/>
  <c r="B161" i="3"/>
  <c r="B160" i="3"/>
  <c r="A160" i="3"/>
  <c r="B139" i="3"/>
  <c r="E140" i="3"/>
  <c r="A139" i="3"/>
  <c r="A121" i="3"/>
  <c r="B121" i="3"/>
  <c r="A44" i="3"/>
  <c r="B44" i="3"/>
  <c r="A84" i="3"/>
  <c r="B84" i="3"/>
  <c r="A43" i="3"/>
  <c r="B43" i="3"/>
  <c r="E45" i="3"/>
  <c r="E85" i="3"/>
  <c r="B162" i="3" l="1"/>
  <c r="A162" i="3"/>
  <c r="E163" i="3"/>
  <c r="E141" i="3"/>
  <c r="B140" i="3"/>
  <c r="A140" i="3"/>
  <c r="A85" i="3"/>
  <c r="B85" i="3"/>
  <c r="A45" i="3"/>
  <c r="B45" i="3"/>
  <c r="E46" i="3"/>
  <c r="E47" i="3" s="1"/>
  <c r="E86" i="3"/>
  <c r="A163" i="3" l="1"/>
  <c r="E164" i="3"/>
  <c r="B163" i="3"/>
  <c r="E142" i="3"/>
  <c r="E143" i="3" s="1"/>
  <c r="E144" i="3" s="1"/>
  <c r="E145" i="3" s="1"/>
  <c r="B141" i="3"/>
  <c r="A141" i="3"/>
  <c r="A47" i="3"/>
  <c r="B47" i="3"/>
  <c r="A86" i="3"/>
  <c r="B86" i="3"/>
  <c r="A46" i="3"/>
  <c r="B46" i="3"/>
  <c r="E87" i="3"/>
  <c r="E88" i="3" s="1"/>
  <c r="E48" i="3"/>
  <c r="E165" i="3" l="1"/>
  <c r="A164" i="3"/>
  <c r="B164" i="3"/>
  <c r="B142" i="3"/>
  <c r="A142" i="3"/>
  <c r="A48" i="3"/>
  <c r="B48" i="3"/>
  <c r="A87" i="3"/>
  <c r="B87" i="3"/>
  <c r="A88" i="3"/>
  <c r="B88" i="3"/>
  <c r="E89" i="3"/>
  <c r="E49" i="3"/>
  <c r="B165" i="3" l="1"/>
  <c r="E166" i="3"/>
  <c r="A165" i="3"/>
  <c r="A143" i="3"/>
  <c r="B143" i="3"/>
  <c r="A49" i="3"/>
  <c r="B49" i="3"/>
  <c r="A89" i="3"/>
  <c r="B89" i="3"/>
  <c r="E50" i="3"/>
  <c r="E167" i="3" l="1"/>
  <c r="A166" i="3"/>
  <c r="B166" i="3"/>
  <c r="A144" i="3"/>
  <c r="B144" i="3"/>
  <c r="A50" i="3"/>
  <c r="B50" i="3"/>
  <c r="E51" i="3"/>
  <c r="E168" i="3" l="1"/>
  <c r="A167" i="3"/>
  <c r="B167" i="3"/>
  <c r="A145" i="3"/>
  <c r="B145" i="3"/>
  <c r="E146" i="3"/>
  <c r="A51" i="3"/>
  <c r="B51" i="3"/>
  <c r="E52" i="3"/>
  <c r="E169" i="3" l="1"/>
  <c r="B168" i="3"/>
  <c r="A168" i="3"/>
  <c r="B146" i="3"/>
  <c r="A146" i="3"/>
  <c r="A52" i="3"/>
  <c r="B52" i="3"/>
  <c r="E53" i="3"/>
  <c r="E170" i="3" l="1"/>
  <c r="B169" i="3"/>
  <c r="A169" i="3"/>
  <c r="A53" i="3"/>
  <c r="B53" i="3"/>
  <c r="E54" i="3"/>
  <c r="E171" i="3" l="1"/>
  <c r="B170" i="3"/>
  <c r="A170" i="3"/>
  <c r="A54" i="3"/>
  <c r="B54" i="3"/>
  <c r="E55" i="3"/>
  <c r="E172" i="3" l="1"/>
  <c r="A171" i="3"/>
  <c r="B171" i="3"/>
  <c r="A55" i="3"/>
  <c r="B55" i="3"/>
  <c r="E56" i="3"/>
  <c r="E173" i="3" l="1"/>
  <c r="B172" i="3"/>
  <c r="A172" i="3"/>
  <c r="A56" i="3"/>
  <c r="B56" i="3"/>
  <c r="E57" i="3"/>
  <c r="A173" i="3" l="1"/>
  <c r="B173" i="3"/>
  <c r="A57" i="3"/>
  <c r="B57" i="3"/>
  <c r="E58" i="3"/>
  <c r="A58" i="3" l="1"/>
  <c r="B58" i="3"/>
  <c r="E59" i="3"/>
  <c r="A59" i="3" l="1"/>
  <c r="B59" i="3"/>
  <c r="E60" i="3"/>
  <c r="A60" i="3" l="1"/>
  <c r="B60" i="3"/>
  <c r="E61" i="3"/>
  <c r="A61" i="3" l="1"/>
  <c r="B61" i="3"/>
  <c r="E62" i="3"/>
  <c r="A62" i="3" l="1"/>
  <c r="B62" i="3"/>
  <c r="E63" i="3"/>
  <c r="A63" i="3" l="1"/>
  <c r="B63" i="3"/>
  <c r="E64" i="3"/>
  <c r="A64" i="3" l="1"/>
  <c r="B64" i="3"/>
  <c r="E65" i="3"/>
  <c r="A65" i="3" l="1"/>
  <c r="B65" i="3"/>
  <c r="E66" i="3"/>
  <c r="A66" i="3" l="1"/>
  <c r="B66" i="3"/>
  <c r="E67" i="3"/>
  <c r="A67" i="3" l="1"/>
  <c r="B67" i="3"/>
  <c r="E68" i="3"/>
  <c r="A68" i="3" l="1"/>
  <c r="B68" i="3"/>
  <c r="E69" i="3"/>
  <c r="A69" i="3" l="1"/>
  <c r="B69" i="3"/>
  <c r="E70" i="3"/>
  <c r="A70" i="3" l="1"/>
  <c r="B70" i="3"/>
  <c r="E71" i="3"/>
  <c r="A71" i="3" l="1"/>
  <c r="B71" i="3"/>
  <c r="E72" i="3"/>
  <c r="A72" i="3" l="1"/>
  <c r="B72" i="3"/>
  <c r="E73" i="3"/>
  <c r="A73" i="3" l="1"/>
  <c r="B73" i="3"/>
  <c r="E74" i="3"/>
  <c r="A74" i="3" l="1"/>
  <c r="B74" i="3"/>
  <c r="E75" i="3"/>
  <c r="A75" i="3" l="1"/>
  <c r="B75" i="3"/>
  <c r="E76" i="3"/>
  <c r="A76" i="3" l="1"/>
  <c r="B76" i="3"/>
  <c r="E77" i="3"/>
  <c r="A79" i="3" l="1"/>
  <c r="B79" i="3"/>
  <c r="B5" i="8" a="1"/>
  <c r="B5" i="8" s="1"/>
  <c r="A77" i="3"/>
  <c r="B77" i="3"/>
  <c r="E78" i="3"/>
  <c r="B20" i="3"/>
  <c r="A20" i="3"/>
  <c r="B21" i="3"/>
  <c r="A21" i="3"/>
  <c r="B22" i="3"/>
  <c r="A23" i="3"/>
  <c r="B23" i="3"/>
  <c r="A24" i="3"/>
  <c r="B24" i="3"/>
  <c r="A26" i="3"/>
  <c r="B25" i="3"/>
  <c r="A22" i="3"/>
  <c r="A25" i="3"/>
  <c r="A78" i="3" l="1"/>
  <c r="B78" i="3"/>
  <c r="A80" i="3"/>
  <c r="B80" i="3"/>
  <c r="A27" i="3"/>
  <c r="B27" i="3"/>
  <c r="B26" i="3"/>
  <c r="A28" i="3" l="1"/>
  <c r="B28" i="3"/>
  <c r="B29" i="3" l="1"/>
  <c r="B90" i="3"/>
  <c r="A90" i="3"/>
  <c r="B91" i="3"/>
  <c r="A93" i="3"/>
  <c r="B93" i="3"/>
  <c r="A94" i="3"/>
  <c r="B94" i="3"/>
  <c r="A91" i="3"/>
  <c r="A92" i="3"/>
  <c r="B92" i="3"/>
  <c r="B116" i="3"/>
  <c r="A116" i="3"/>
  <c r="B134" i="3"/>
  <c r="A134" i="3"/>
  <c r="A118" i="3"/>
  <c r="B118" i="3"/>
  <c r="B117" i="3"/>
  <c r="B125" i="3"/>
  <c r="A125" i="3"/>
  <c r="A117" i="3"/>
  <c r="B135" i="3"/>
  <c r="A135" i="3"/>
  <c r="B175" i="3"/>
  <c r="A175" i="3"/>
  <c r="B176" i="3"/>
  <c r="A176" i="3"/>
  <c r="B177" i="3"/>
  <c r="A177" i="3"/>
  <c r="B180" i="3"/>
  <c r="A180" i="3"/>
  <c r="B178" i="3"/>
  <c r="A179" i="3"/>
  <c r="B179" i="3"/>
  <c r="A178" i="3"/>
  <c r="A6" i="4" l="1" a="1"/>
  <c r="A6" i="4" s="1"/>
  <c r="D4" i="4"/>
  <c r="E191" i="4"/>
  <c r="D190" i="4"/>
  <c r="D192" i="4"/>
  <c r="D189" i="4"/>
  <c r="C189" i="4"/>
  <c r="E193" i="4"/>
  <c r="E192" i="4"/>
  <c r="C190" i="4"/>
  <c r="C193" i="4"/>
  <c r="D193" i="4"/>
  <c r="E190" i="4"/>
  <c r="C191" i="4"/>
  <c r="C192" i="4"/>
  <c r="E189" i="4"/>
  <c r="D19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A3AD84-51E2-49D4-9399-2E9981A1CD2B}" keepAlive="1" name="Consulta - TablaPrevencionista" description="Conexión a la consulta 'TablaPrevencionista' en el libro." type="5" refreshedVersion="8" background="1" refreshOnLoad="1">
    <dbPr connection="Provider=Microsoft.Mashup.OleDb.1;Data Source=$Workbook$;Location=TablaPrevencionista;Extended Properties=&quot;&quot;" command="SELECT * FROM [TablaPrevencionista]"/>
  </connection>
  <connection id="2" xr16:uid="{2A16713F-7CD1-4F32-B3A5-6DF6D431F664}" keepAlive="1" name="Consulta - 'Vista Semanal'!Área_de_impresión" description="Conexión a la consulta ''Vista Semanal'!Área_de_impresión' en el libro." type="5" refreshedVersion="0" background="1">
    <dbPr connection="Provider=Microsoft.Mashup.OleDb.1;Data Source=$Workbook$;Location=&quot;'Vista Semanal'!Área_de_impresión&quot;;Extended Properties=&quot;&quot;" command="SELECT * FROM ['Vista Semanal'!Área_de_impresió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<sst xmlns="http://schemas.openxmlformats.org/spreadsheetml/2006/main" count="1251" uniqueCount="163">
  <si>
    <t>EMPRESA</t>
  </si>
  <si>
    <t>MOVIL UNO</t>
  </si>
  <si>
    <t>Capacitación Funciones Delegado de Seguridad (Solo con Sergio CANESSI)</t>
  </si>
  <si>
    <t>Capacitación orden y limpieza</t>
  </si>
  <si>
    <t>Simulacro de incendio</t>
  </si>
  <si>
    <t>Capacitación trabajos en espacios confinados</t>
  </si>
  <si>
    <t>Reunión Bipartita</t>
  </si>
  <si>
    <t>Simulacro de actuación ante accidente</t>
  </si>
  <si>
    <t>Capacitación riesgos químicos</t>
  </si>
  <si>
    <t>Capacitación manipulación manual de cargas</t>
  </si>
  <si>
    <t>Inspección de Seguridad en taller</t>
  </si>
  <si>
    <t>Reporte mensual de SST (requisito SGI)</t>
  </si>
  <si>
    <t>RABUFFER</t>
  </si>
  <si>
    <t>Inducción de Seguridad</t>
  </si>
  <si>
    <t>Capacitación y simulacro de actuación ante Emergencias</t>
  </si>
  <si>
    <t>Inspección de Seguridad en depósito y oficinas</t>
  </si>
  <si>
    <t>Actualización del PPRL</t>
  </si>
  <si>
    <t>ESON</t>
  </si>
  <si>
    <t>Capacitación Riesgo eléctrico</t>
  </si>
  <si>
    <t>Capacitación contaminantes químicos</t>
  </si>
  <si>
    <t>Capacitación actuación ante emergencias</t>
  </si>
  <si>
    <t>Capacitación uso herramientas eléctricas</t>
  </si>
  <si>
    <t>Bipartita</t>
  </si>
  <si>
    <t>FEWELL</t>
  </si>
  <si>
    <t>Capacitación riesgo eléctrico</t>
  </si>
  <si>
    <t>Simulacro de evacuación</t>
  </si>
  <si>
    <t>Inspección de Seguridad</t>
  </si>
  <si>
    <t>Capacitación ergonomía y MMC</t>
  </si>
  <si>
    <t>Reporte mensual SYSO</t>
  </si>
  <si>
    <t>APLOMO</t>
  </si>
  <si>
    <t>Presentación del Plan de Seguridad</t>
  </si>
  <si>
    <t>Capacitación trabajos en altura</t>
  </si>
  <si>
    <t>Capacitación EPP y uso correcto</t>
  </si>
  <si>
    <t>Inspección de Seguridad general</t>
  </si>
  <si>
    <t>Actualización documentos SySO</t>
  </si>
  <si>
    <t>ACTIVIDAD</t>
  </si>
  <si>
    <t>MES</t>
  </si>
  <si>
    <t>SEMANA</t>
  </si>
  <si>
    <t>ESTADO</t>
  </si>
  <si>
    <t>PROGRAMADO</t>
  </si>
  <si>
    <t>PENDIENTE</t>
  </si>
  <si>
    <t>✏️  Cómo usar: 1) Escribí el nro. de semana (1-52).  2) Escribí la empresa (podés agregar nuevas).  3) Completá la actividad.  El mes y la fecha se calculan solos.  La Vista Semanal se actualiza automáticamente.</t>
  </si>
  <si>
    <t>OBSERVACIONES</t>
  </si>
  <si>
    <t>FECHA</t>
  </si>
  <si>
    <t>★  Actividades los días MARTES 07:00-08:00 hs  |  Para agregar usá la hoja "Planificación Anual"</t>
  </si>
  <si>
    <t>Semana</t>
  </si>
  <si>
    <t>MOVIL UNO_act1</t>
  </si>
  <si>
    <t>MOVIL UNO_act2</t>
  </si>
  <si>
    <t>MOVIL UNO_act3</t>
  </si>
  <si>
    <t>RABUFFER_act1</t>
  </si>
  <si>
    <t>RABUFFER_act2</t>
  </si>
  <si>
    <t>RABUFFER_act3</t>
  </si>
  <si>
    <t>ESON_act1</t>
  </si>
  <si>
    <t>ESON_act2</t>
  </si>
  <si>
    <t>ESON_act3</t>
  </si>
  <si>
    <t>FEWELL_act1</t>
  </si>
  <si>
    <t>FEWELL_act2</t>
  </si>
  <si>
    <t>FEWELL_act3</t>
  </si>
  <si>
    <t>APLOMO_act1</t>
  </si>
  <si>
    <t>APLOMO_act2</t>
  </si>
  <si>
    <t>APLOMO_act3</t>
  </si>
  <si>
    <t>TIPO</t>
  </si>
  <si>
    <t>Capacitación</t>
  </si>
  <si>
    <t>Inspección</t>
  </si>
  <si>
    <t>HECHO</t>
  </si>
  <si>
    <t>Simulacro</t>
  </si>
  <si>
    <t>VENCIDA</t>
  </si>
  <si>
    <t>CANCELADO</t>
  </si>
  <si>
    <t>Informe</t>
  </si>
  <si>
    <t xml:space="preserve">Asamblea </t>
  </si>
  <si>
    <t>Crear la lista de opciones para la lista desplegable en otra hoja</t>
  </si>
  <si>
    <t>Ahora vas a la columna donde quiero que este la lista desplegable</t>
  </si>
  <si>
    <t>1. Seleccioná las celdas donde querés la lista</t>
  </si>
  <si>
    <t>(por ejemplo D3:D300).</t>
  </si>
  <si>
    <t>2. Ir a:</t>
  </si>
  <si>
    <t>Datos</t>
  </si>
  <si>
    <t>→ Validación de datos</t>
  </si>
  <si>
    <t>3. En Permitir elegí:</t>
  </si>
  <si>
    <t>Lista</t>
  </si>
  <si>
    <t>4. En Origen escribí:</t>
  </si>
  <si>
    <t>Selecciono en la hoja lista lo que quiero que tenga (la lista que generé)</t>
  </si>
  <si>
    <t>5. Aceptar.</t>
  </si>
  <si>
    <t>FECHA PROGRAMADA</t>
  </si>
  <si>
    <t>FECHA REALIZADA</t>
  </si>
  <si>
    <t>Reunión con Gabriela – Evaluación de oficina</t>
  </si>
  <si>
    <t>Inducción de seguridad suspendida por falla en la programación desde el taller</t>
  </si>
  <si>
    <t>Reunión por Zoom – SGI con Aitana</t>
  </si>
  <si>
    <t>Inspección de seguridad</t>
  </si>
  <si>
    <t>Avita Gard</t>
  </si>
  <si>
    <t>Envío de informe de oficina</t>
  </si>
  <si>
    <t>APR – Puente grúa G2 – Baja de carga</t>
  </si>
  <si>
    <t>Inducción de seguridad a tres trabajadores nuevos</t>
  </si>
  <si>
    <t>Envío de reportes mensuales de SySO</t>
  </si>
  <si>
    <t>Inspección de seguridad – Obra Bellevue</t>
  </si>
  <si>
    <t>Inspección de seguridad – Obra Carrasco Hub</t>
  </si>
  <si>
    <t>Ampliación de la tarea – Puente grúa G2</t>
  </si>
  <si>
    <t>Inducción de seguridad</t>
  </si>
  <si>
    <t>Capacitación en trabajo en altura</t>
  </si>
  <si>
    <t>Difusión del plan de seguridad de descarga de barcazas</t>
  </si>
  <si>
    <t>Asamblea de seguridad</t>
  </si>
  <si>
    <t>Inducción de Seguridad – Rubén Moreno</t>
  </si>
  <si>
    <t>Capacitación en trabajos en caliente – 7 trabajadores</t>
  </si>
  <si>
    <t>Inspección de seguridad – San Roque Montevideo Shopping</t>
  </si>
  <si>
    <t>Asamblea de Seguridad – SUNCA</t>
  </si>
  <si>
    <t>Capacitación a Pañolero Nuevo</t>
  </si>
  <si>
    <t>Elaboración de procedimiento – cambio de polea en grúa del buque Unigalaxy</t>
  </si>
  <si>
    <t>Comunicación con Enrique para certificación</t>
  </si>
  <si>
    <t>Inspección de seguridad – Obra Rubicón</t>
  </si>
  <si>
    <t>Confección de informes – últimas dos semanas</t>
  </si>
  <si>
    <t>Envío de informe semanal</t>
  </si>
  <si>
    <t>Inspección de seguridad – Obra Avita Gard</t>
  </si>
  <si>
    <t>Envío de reporte N.º 007</t>
  </si>
  <si>
    <t>Enero</t>
  </si>
  <si>
    <t>Febrero</t>
  </si>
  <si>
    <t>Marzo</t>
  </si>
  <si>
    <t>Envío de índices de accidentabilidad enero y febrero 2026</t>
  </si>
  <si>
    <t>Reporte mensual SYSO SACEEM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</si>
  <si>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</si>
  <si>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</si>
  <si>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</si>
  <si>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</si>
  <si>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</si>
  <si>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</si>
  <si>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</si>
  <si>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</si>
  <si>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OCEANUS</t>
  </si>
  <si>
    <t>Asamblea de seguridad SUNCA</t>
  </si>
  <si>
    <t>Meses</t>
  </si>
  <si>
    <t>Diciembre</t>
  </si>
  <si>
    <t>Capacitación Riesgo Químico y Simulacro de derrame de PQ</t>
  </si>
  <si>
    <t>Escribir una fecha y se convierte en mes automatico (si se pone le mes la formula no funciona)</t>
  </si>
  <si>
    <t xml:space="preserve">VISTA SEMANAL </t>
  </si>
  <si>
    <t>★  Para agregar  una actividad hacerlo desde la hoja "Planificación Anual"</t>
  </si>
  <si>
    <t>Item</t>
  </si>
  <si>
    <t>TODAS</t>
  </si>
  <si>
    <t>EMPRESAS</t>
  </si>
  <si>
    <t>ACTIVIDADES MENSUALES DE SYSO POR EMPRESA</t>
  </si>
  <si>
    <r>
      <rPr>
        <i/>
        <sz val="16"/>
        <color theme="1"/>
        <rFont val="Arial"/>
        <family val="2"/>
      </rPr>
      <t xml:space="preserve">SEMANA       </t>
    </r>
    <r>
      <rPr>
        <i/>
        <sz val="9"/>
        <color rgb="FF888888"/>
        <rFont val="Arial"/>
        <family val="2"/>
      </rPr>
      <t xml:space="preserve">                                             EscribirEl número de semana        (del 1 al 52)</t>
    </r>
  </si>
  <si>
    <t>PLANIFICACIÓN ANUAL DE ACTIVIDADES SYSO 2026  —  Esta es la tabla maestra: planifico aquí todo el año</t>
  </si>
  <si>
    <t>Envié Informe de Inspecciones de Seguridad de Marzo</t>
  </si>
  <si>
    <t>Acta enviada 30/03/2026</t>
  </si>
  <si>
    <t>Capacitación (orden y limpieza)</t>
  </si>
  <si>
    <t>Capacitación (Simulacro de incendio)</t>
  </si>
  <si>
    <t>Capacitación (trabajos en espacios confinados)</t>
  </si>
  <si>
    <t>Insepección de Seguridad (Informe de oficina GGHH)</t>
  </si>
  <si>
    <t>Informe de Simulacro enviado 30/03/2026</t>
  </si>
  <si>
    <t>Fecha</t>
  </si>
  <si>
    <t>N° de Denuncia BSE</t>
  </si>
  <si>
    <t>Fecha Alta BSE</t>
  </si>
  <si>
    <t>Total días perdidas</t>
  </si>
  <si>
    <t>SEGUMIENTO GENERAL DE ACCIDENTES</t>
  </si>
  <si>
    <t>Empresa</t>
  </si>
  <si>
    <t>Accidentado</t>
  </si>
  <si>
    <t>Descripción del Accidete</t>
  </si>
  <si>
    <t>Enrique Soria</t>
  </si>
  <si>
    <t>Rotura de puerta de vidrio</t>
  </si>
  <si>
    <t>Guzmán Martinez</t>
  </si>
  <si>
    <t>Quemadura de cuello, hombro y nuca izquierdos; con fluido refrigerante de grúa</t>
  </si>
  <si>
    <t>Investigación</t>
  </si>
  <si>
    <t>SI</t>
  </si>
  <si>
    <t>NO</t>
  </si>
  <si>
    <t>Año</t>
  </si>
  <si>
    <t>FECHA PROGRAMADO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</si>
</sst>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;\-0;;@"/>
    <numFmt numFmtId="165" formatCode="[$-F800]dddd\,\ mmmm\ dd\,\ yyyy"/>
    <numFmt numFmtId="166" formatCode="mmmm\-yyyy"/>
    <numFmt numFmtId="167" formatCode="mmmm\,yyyy"/>
  </numFmts>
  <fonts count="34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8"/>
      <color rgb="FF1A5E2A"/>
      <name val="Arial"/>
      <charset val="1"/>
    </font>
    <font>
      <b/>
      <sz val="12"/>
      <color rgb="FFFFFFFF"/>
      <name val="Arial"/>
      <charset val="1"/>
    </font>
    <font>
      <i/>
      <sz val="8"/>
      <color rgb="FF595959"/>
      <name val="Arial"/>
      <charset val="1"/>
    </font>
    <font>
      <sz val="8"/>
      <color rgb="FF000000"/>
      <name val="Arial"/>
      <charset val="1"/>
    </font>
    <font>
      <b/>
      <sz val="8"/>
      <color rgb="FF2E86AB"/>
      <name val="Arial"/>
      <charset val="1"/>
    </font>
    <font>
      <b/>
      <sz val="8"/>
      <color rgb="FF4CAF50"/>
      <name val="Arial"/>
      <charset val="1"/>
    </font>
    <font>
      <b/>
      <sz val="8"/>
      <color rgb="FF7B2FA8"/>
      <name val="Arial"/>
      <charset val="1"/>
    </font>
    <font>
      <b/>
      <sz val="8"/>
      <color rgb="FFE07B2A"/>
      <name val="Arial"/>
      <charset val="1"/>
    </font>
    <font>
      <b/>
      <sz val="8"/>
      <color rgb="FFC9A800"/>
      <name val="Arial"/>
      <charset val="1"/>
    </font>
    <font>
      <b/>
      <sz val="20"/>
      <color rgb="FFC00000"/>
      <name val="Arial"/>
      <charset val="1"/>
    </font>
    <font>
      <b/>
      <sz val="11"/>
      <color rgb="FFFFFFFF"/>
      <name val="Arial"/>
      <charset val="1"/>
    </font>
    <font>
      <b/>
      <sz val="9"/>
      <color rgb="FF1F3864"/>
      <name val="Arial"/>
      <charset val="1"/>
    </font>
    <font>
      <b/>
      <sz val="9"/>
      <color rgb="FFFFFFFF"/>
      <name val="Arial"/>
      <family val="2"/>
    </font>
    <font>
      <sz val="8"/>
      <color rgb="FF000000"/>
      <name val="Arial"/>
      <family val="2"/>
    </font>
    <font>
      <b/>
      <sz val="14"/>
      <color rgb="FF1F3864"/>
      <name val="Arial"/>
      <family val="2"/>
    </font>
    <font>
      <b/>
      <sz val="8"/>
      <color theme="3"/>
      <name val="Arial"/>
      <family val="2"/>
    </font>
    <font>
      <sz val="18"/>
      <color rgb="FF000000"/>
      <name val="Arial"/>
      <family val="2"/>
    </font>
    <font>
      <sz val="9"/>
      <name val="Arial"/>
      <family val="2"/>
    </font>
    <font>
      <i/>
      <sz val="9"/>
      <color rgb="FF888888"/>
      <name val="Arial"/>
      <family val="2"/>
    </font>
    <font>
      <b/>
      <sz val="13"/>
      <color rgb="FFFFFFFF"/>
      <name val="Arial"/>
      <family val="2"/>
    </font>
    <font>
      <i/>
      <sz val="8"/>
      <color rgb="FF595959"/>
      <name val="Arial"/>
      <family val="2"/>
    </font>
    <font>
      <sz val="11"/>
      <color theme="1"/>
      <name val="Times New Roman"/>
      <family val="1"/>
    </font>
    <font>
      <sz val="9"/>
      <color theme="1"/>
      <name val="Arial"/>
      <family val="2"/>
    </font>
    <font>
      <b/>
      <sz val="20"/>
      <color rgb="FFC00000"/>
      <name val="Arial  "/>
    </font>
    <font>
      <i/>
      <sz val="16"/>
      <color theme="1"/>
      <name val="Arial"/>
      <family val="2"/>
    </font>
    <font>
      <b/>
      <i/>
      <sz val="20"/>
      <color rgb="FFC00000"/>
      <name val="Arial"/>
      <family val="2"/>
    </font>
    <font>
      <b/>
      <sz val="12"/>
      <color rgb="FFFFFFFF"/>
      <name val="Arial"/>
      <family val="2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2E86AB"/>
      </patternFill>
    </fill>
    <fill>
      <patternFill patternType="solid">
        <fgColor rgb="FFBDD7EE"/>
        <bgColor rgb="FFCCCCCC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7F6"/>
        <bgColor rgb="FFDDEBF7"/>
      </patternFill>
    </fill>
    <fill>
      <patternFill patternType="solid">
        <fgColor rgb="FF2E86AB"/>
        <bgColor rgb="FF2E75B6"/>
      </patternFill>
    </fill>
    <fill>
      <patternFill patternType="solid">
        <fgColor rgb="FFD6EAF8"/>
        <bgColor rgb="FFDDEBF7"/>
      </patternFill>
    </fill>
    <fill>
      <patternFill patternType="solid">
        <fgColor rgb="FFF5F5F5"/>
        <bgColor rgb="FFF5F9FF"/>
      </patternFill>
    </fill>
    <fill>
      <patternFill patternType="solid">
        <fgColor rgb="FFEBF3FB"/>
        <bgColor rgb="FFF5F5F5"/>
      </patternFill>
    </fill>
    <fill>
      <patternFill patternType="solid">
        <fgColor rgb="FFFFFFFF"/>
        <bgColor rgb="FFFAFAFA"/>
      </patternFill>
    </fill>
    <fill>
      <patternFill patternType="solid">
        <fgColor theme="6" tint="0.79998168889431442"/>
        <bgColor rgb="FFDDEBF7"/>
      </patternFill>
    </fill>
    <fill>
      <patternFill patternType="solid">
        <fgColor theme="4" tint="0.59999389629810485"/>
        <bgColor rgb="FFDDEBF7"/>
      </patternFill>
    </fill>
    <fill>
      <patternFill patternType="solid">
        <fgColor theme="4" tint="0.59999389629810485"/>
        <bgColor rgb="FFFAFAFA"/>
      </patternFill>
    </fill>
    <fill>
      <patternFill patternType="solid">
        <fgColor theme="0"/>
        <bgColor rgb="FF333333"/>
      </patternFill>
    </fill>
    <fill>
      <patternFill patternType="solid">
        <fgColor theme="0"/>
        <bgColor rgb="FFDDEBF7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left" vertical="center" wrapText="1"/>
    </xf>
    <xf numFmtId="0" fontId="4" fillId="10" borderId="3" xfId="0" applyFont="1" applyFill="1" applyBorder="1" applyAlignment="1">
      <alignment horizontal="center" vertical="center"/>
    </xf>
    <xf numFmtId="0" fontId="7" fillId="13" borderId="3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 vertical="center" wrapText="1"/>
    </xf>
    <xf numFmtId="0" fontId="10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7" fillId="5" borderId="3" xfId="0" applyNumberFormat="1" applyFont="1" applyFill="1" applyBorder="1" applyAlignment="1">
      <alignment horizontal="center" vertical="center"/>
    </xf>
    <xf numFmtId="14" fontId="7" fillId="10" borderId="3" xfId="0" applyNumberFormat="1" applyFont="1" applyFill="1" applyBorder="1" applyAlignment="1">
      <alignment horizontal="center" vertical="center"/>
    </xf>
    <xf numFmtId="0" fontId="17" fillId="10" borderId="3" xfId="0" applyFont="1" applyFill="1" applyBorder="1" applyAlignment="1">
      <alignment horizontal="left" vertical="center" wrapText="1"/>
    </xf>
    <xf numFmtId="0" fontId="4" fillId="10" borderId="0" xfId="0" applyFont="1" applyFill="1" applyAlignment="1">
      <alignment horizontal="center" vertical="center"/>
    </xf>
    <xf numFmtId="0" fontId="7" fillId="13" borderId="0" xfId="0" applyFont="1" applyFill="1" applyAlignment="1">
      <alignment horizontal="left" vertical="center"/>
    </xf>
    <xf numFmtId="14" fontId="7" fillId="6" borderId="3" xfId="0" applyNumberFormat="1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/>
    </xf>
    <xf numFmtId="14" fontId="7" fillId="15" borderId="3" xfId="0" applyNumberFormat="1" applyFont="1" applyFill="1" applyBorder="1" applyAlignment="1">
      <alignment horizontal="center" vertical="center"/>
    </xf>
    <xf numFmtId="0" fontId="7" fillId="15" borderId="3" xfId="0" applyFont="1" applyFill="1" applyBorder="1" applyAlignment="1">
      <alignment horizontal="left" vertical="center" wrapText="1"/>
    </xf>
    <xf numFmtId="0" fontId="4" fillId="15" borderId="3" xfId="0" applyFont="1" applyFill="1" applyBorder="1" applyAlignment="1">
      <alignment horizontal="center" vertical="center"/>
    </xf>
    <xf numFmtId="0" fontId="7" fillId="16" borderId="3" xfId="0" applyFont="1" applyFill="1" applyBorder="1" applyAlignment="1">
      <alignment horizontal="left" vertical="center"/>
    </xf>
    <xf numFmtId="14" fontId="7" fillId="15" borderId="0" xfId="0" applyNumberFormat="1" applyFont="1" applyFill="1" applyAlignment="1">
      <alignment horizontal="center" vertical="center"/>
    </xf>
    <xf numFmtId="0" fontId="7" fillId="15" borderId="0" xfId="0" applyFont="1" applyFill="1" applyAlignment="1">
      <alignment horizontal="left" vertical="center" wrapText="1"/>
    </xf>
    <xf numFmtId="0" fontId="19" fillId="15" borderId="3" xfId="0" applyFont="1" applyFill="1" applyBorder="1" applyAlignment="1">
      <alignment horizontal="center" vertical="center"/>
    </xf>
    <xf numFmtId="14" fontId="7" fillId="7" borderId="3" xfId="0" applyNumberFormat="1" applyFont="1" applyFill="1" applyBorder="1" applyAlignment="1">
      <alignment horizontal="center" vertical="center"/>
    </xf>
    <xf numFmtId="14" fontId="7" fillId="8" borderId="3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17" fillId="7" borderId="3" xfId="0" applyFont="1" applyFill="1" applyBorder="1" applyAlignment="1">
      <alignment horizontal="left" vertical="center" wrapText="1"/>
    </xf>
    <xf numFmtId="165" fontId="0" fillId="0" borderId="0" xfId="0" applyNumberFormat="1"/>
    <xf numFmtId="0" fontId="17" fillId="13" borderId="3" xfId="0" applyFont="1" applyFill="1" applyBorder="1" applyAlignment="1">
      <alignment horizontal="left" vertical="center"/>
    </xf>
    <xf numFmtId="0" fontId="0" fillId="0" borderId="0" xfId="0" applyProtection="1">
      <protection locked="0"/>
    </xf>
    <xf numFmtId="0" fontId="23" fillId="17" borderId="0" xfId="0" applyFont="1" applyFill="1" applyAlignment="1" applyProtection="1">
      <alignment horizontal="center" vertical="center"/>
      <protection locked="0"/>
    </xf>
    <xf numFmtId="166" fontId="20" fillId="18" borderId="0" xfId="0" applyNumberFormat="1" applyFont="1" applyFill="1" applyAlignment="1" applyProtection="1">
      <alignment vertical="center"/>
      <protection locked="0"/>
    </xf>
    <xf numFmtId="164" fontId="2" fillId="2" borderId="6" xfId="0" applyNumberFormat="1" applyFont="1" applyFill="1" applyBorder="1" applyAlignment="1" applyProtection="1">
      <alignment horizontal="center" vertical="center"/>
      <protection locked="0"/>
    </xf>
    <xf numFmtId="164" fontId="2" fillId="2" borderId="7" xfId="0" applyNumberFormat="1" applyFont="1" applyFill="1" applyBorder="1" applyAlignment="1" applyProtection="1">
      <alignment horizontal="center" vertical="center"/>
      <protection locked="0"/>
    </xf>
    <xf numFmtId="164" fontId="2" fillId="2" borderId="1" xfId="0" applyNumberFormat="1" applyFont="1" applyFill="1" applyBorder="1" applyAlignment="1" applyProtection="1">
      <alignment horizontal="center" vertical="center"/>
      <protection locked="0"/>
    </xf>
    <xf numFmtId="164" fontId="2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4" fontId="26" fillId="0" borderId="2" xfId="0" applyNumberFormat="1" applyFont="1" applyBorder="1" applyAlignment="1" applyProtection="1">
      <alignment horizontal="center" vertical="center" wrapText="1"/>
      <protection locked="0"/>
    </xf>
    <xf numFmtId="14" fontId="26" fillId="0" borderId="2" xfId="0" applyNumberFormat="1" applyFont="1" applyBorder="1" applyAlignment="1" applyProtection="1">
      <alignment horizontal="center" vertical="center"/>
      <protection locked="0"/>
    </xf>
    <xf numFmtId="164" fontId="26" fillId="0" borderId="2" xfId="0" applyNumberFormat="1" applyFont="1" applyBorder="1" applyAlignment="1" applyProtection="1">
      <alignment horizontal="center" vertical="center"/>
      <protection locked="0"/>
    </xf>
    <xf numFmtId="164" fontId="21" fillId="0" borderId="2" xfId="0" applyNumberFormat="1" applyFont="1" applyBorder="1" applyAlignment="1" applyProtection="1">
      <alignment horizontal="center" vertical="center"/>
      <protection locked="0"/>
    </xf>
    <xf numFmtId="164" fontId="21" fillId="0" borderId="2" xfId="0" applyNumberFormat="1" applyFont="1" applyBorder="1" applyAlignment="1" applyProtection="1">
      <alignment horizontal="center" vertical="center" wrapText="1"/>
      <protection locked="0"/>
    </xf>
    <xf numFmtId="14" fontId="21" fillId="0" borderId="2" xfId="0" applyNumberFormat="1" applyFont="1" applyBorder="1" applyAlignment="1" applyProtection="1">
      <alignment horizontal="center" vertical="center"/>
      <protection locked="0"/>
    </xf>
    <xf numFmtId="2" fontId="0" fillId="0" borderId="0" xfId="0" applyNumberFormat="1"/>
    <xf numFmtId="0" fontId="22" fillId="0" borderId="0" xfId="0" applyFont="1" applyAlignment="1">
      <alignment vertical="center" wrapText="1"/>
    </xf>
    <xf numFmtId="167" fontId="13" fillId="0" borderId="5" xfId="0" applyNumberFormat="1" applyFont="1" applyBorder="1" applyAlignment="1">
      <alignment vertical="center"/>
    </xf>
    <xf numFmtId="0" fontId="14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14" fontId="3" fillId="13" borderId="3" xfId="0" applyNumberFormat="1" applyFont="1" applyFill="1" applyBorder="1" applyAlignment="1">
      <alignment horizontal="center" vertical="center"/>
    </xf>
    <xf numFmtId="1" fontId="2" fillId="9" borderId="9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1" fontId="2" fillId="9" borderId="11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14" fontId="7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left" vertical="center"/>
    </xf>
    <xf numFmtId="0" fontId="0" fillId="0" borderId="12" xfId="0" applyBorder="1"/>
    <xf numFmtId="0" fontId="31" fillId="19" borderId="12" xfId="0" applyFont="1" applyFill="1" applyBorder="1"/>
    <xf numFmtId="0" fontId="31" fillId="19" borderId="1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12" xfId="0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3" fillId="20" borderId="0" xfId="0" applyFont="1" applyFill="1" applyAlignment="1">
      <alignment horizontal="center" vertical="center"/>
    </xf>
    <xf numFmtId="0" fontId="33" fillId="20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24" fillId="0" borderId="2" xfId="0" applyFont="1" applyBorder="1" applyAlignment="1" applyProtection="1">
      <alignment horizontal="left" vertical="center"/>
      <protection locked="0"/>
    </xf>
    <xf numFmtId="0" fontId="23" fillId="2" borderId="0" xfId="0" applyFont="1" applyFill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167" fontId="13" fillId="0" borderId="5" xfId="0" applyNumberFormat="1" applyFont="1" applyBorder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horizontal="center"/>
      <protection locked="0"/>
    </xf>
    <xf numFmtId="0" fontId="27" fillId="0" borderId="0" xfId="0" applyFont="1" applyAlignment="1" applyProtection="1">
      <alignment horizontal="center" vertical="center"/>
      <protection locked="0"/>
    </xf>
    <xf numFmtId="0" fontId="23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left" vertical="center"/>
    </xf>
    <xf numFmtId="0" fontId="27" fillId="0" borderId="5" xfId="0" applyFont="1" applyBorder="1" applyAlignment="1" applyProtection="1">
      <alignment horizontal="center" vertical="center"/>
      <protection locked="0"/>
    </xf>
    <xf numFmtId="0" fontId="25" fillId="0" borderId="8" xfId="0" applyFont="1" applyBorder="1" applyAlignment="1">
      <alignment horizontal="center"/>
    </xf>
    <xf numFmtId="0" fontId="22" fillId="0" borderId="8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9" fillId="0" borderId="8" xfId="0" applyFont="1" applyBorder="1" applyAlignment="1" applyProtection="1">
      <alignment horizontal="center" vertical="center" wrapText="1"/>
      <protection locked="0"/>
    </xf>
    <xf numFmtId="0" fontId="29" fillId="0" borderId="5" xfId="0" applyFont="1" applyBorder="1" applyAlignment="1" applyProtection="1">
      <alignment horizontal="center" vertical="center" wrapText="1"/>
      <protection locked="0"/>
    </xf>
    <xf numFmtId="0" fontId="3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applyAlignment="1"/>
    <xf numFmtId="14" fontId="0" fillId="0" borderId="0" xfId="0" applyNumberFormat="1" applyAlignment="1"/>
  </cellXfs>
  <cellStyles count="1">
    <cellStyle name="Normal" xfId="0" builtinId="0"/>
  </cellStyles>
  <dxfs count="3357">
    <dxf>
      <alignment horizontal="center"/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charset val="1"/>
        <scheme val="none"/>
      </font>
      <fill>
        <patternFill patternType="solid">
          <fgColor rgb="FFFAFAFA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1A5E2A"/>
        <name val="Arial"/>
        <charset val="1"/>
        <scheme val="none"/>
      </font>
      <fill>
        <patternFill patternType="solid">
          <fgColor rgb="FFFCE4D6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charset val="1"/>
        <scheme val="none"/>
      </font>
      <numFmt numFmtId="19" formatCode="d/m/yyyy"/>
      <fill>
        <patternFill patternType="solid">
          <fgColor rgb="FFFCE4D6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charset val="1"/>
        <scheme val="none"/>
      </font>
      <numFmt numFmtId="19" formatCode="d/m/yyyy"/>
      <fill>
        <patternFill patternType="solid">
          <fgColor rgb="FFFCE4D6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charset val="1"/>
        <scheme val="none"/>
      </font>
      <fill>
        <patternFill patternType="solid">
          <fgColor rgb="FFFCE4D6"/>
          <bgColor rgb="FFFFF2CC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C9A800"/>
        <name val="Arial"/>
        <charset val="1"/>
        <scheme val="none"/>
      </font>
      <fill>
        <patternFill patternType="solid">
          <fgColor rgb="FFFCE4D6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charset val="1"/>
        <scheme val="none"/>
      </font>
      <fill>
        <patternFill patternType="solid">
          <fgColor rgb="FFDDEBF7"/>
          <bgColor rgb="FFD6EA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charset val="1"/>
        <scheme val="none"/>
      </font>
      <numFmt numFmtId="1" formatCode="0"/>
      <fill>
        <patternFill patternType="solid">
          <fgColor rgb="FF2E75B6"/>
          <bgColor rgb="FF2E86AB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left style="thin">
          <color rgb="FFBFBFBF"/>
        </lef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alignment horizontal="center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A5E2A"/>
      <rgbColor rgb="FF000080"/>
      <rgbColor rgb="FF808000"/>
      <rgbColor rgb="FF800080"/>
      <rgbColor rgb="FF2E86AB"/>
      <rgbColor rgb="FFBFBFBF"/>
      <rgbColor rgb="FF888888"/>
      <rgbColor rgb="FF5B9BD5"/>
      <rgbColor rgb="FF7B2FA8"/>
      <rgbColor rgb="FFFFFDE7"/>
      <rgbColor rgb="FFD6EAF8"/>
      <rgbColor rgb="FF660066"/>
      <rgbColor rgb="FFFAFAFA"/>
      <rgbColor rgb="FF0066CC"/>
      <rgbColor rgb="FFBDD7EE"/>
      <rgbColor rgb="FF000080"/>
      <rgbColor rgb="FFFF00FF"/>
      <rgbColor rgb="FFF5F5F5"/>
      <rgbColor rgb="FF00FFFF"/>
      <rgbColor rgb="FF800080"/>
      <rgbColor rgb="FF800000"/>
      <rgbColor rgb="FF008080"/>
      <rgbColor rgb="FF0000FF"/>
      <rgbColor rgb="FF00CCFF"/>
      <rgbColor rgb="FFDDEBF7"/>
      <rgbColor rgb="FFE2EFDA"/>
      <rgbColor rgb="FFFFF2CC"/>
      <rgbColor rgb="FFCCCCCC"/>
      <rgbColor rgb="FFEDE7F6"/>
      <rgbColor rgb="FFDDDDDD"/>
      <rgbColor rgb="FFFCE4D6"/>
      <rgbColor rgb="FF2E75B6"/>
      <rgbColor rgb="FF33CCCC"/>
      <rgbColor rgb="FFF5F9FF"/>
      <rgbColor rgb="FFEBF3FB"/>
      <rgbColor rgb="FFC9A800"/>
      <rgbColor rgb="FFE07B2A"/>
      <rgbColor rgb="FF595959"/>
      <rgbColor rgb="FFAAAAAA"/>
      <rgbColor rgb="FF1F3864"/>
      <rgbColor rgb="FF4CAF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</xdr:colOff>
      <xdr:row>0</xdr:row>
      <xdr:rowOff>53341</xdr:rowOff>
    </xdr:from>
    <xdr:to>
      <xdr:col>6</xdr:col>
      <xdr:colOff>632460</xdr:colOff>
      <xdr:row>10</xdr:row>
      <xdr:rowOff>114301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EMPRESA">
              <a:extLst>
                <a:ext uri="{FF2B5EF4-FFF2-40B4-BE49-F238E27FC236}">
                  <a16:creationId xmlns:a16="http://schemas.microsoft.com/office/drawing/2014/main" id="{62A36AA5-2EC6-0B9F-31E1-B0DB1987F9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33060" y="53341"/>
              <a:ext cx="2255520" cy="2057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UY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53340</xdr:colOff>
      <xdr:row>10</xdr:row>
      <xdr:rowOff>175260</xdr:rowOff>
    </xdr:from>
    <xdr:to>
      <xdr:col>6</xdr:col>
      <xdr:colOff>647700</xdr:colOff>
      <xdr:row>23</xdr:row>
      <xdr:rowOff>91440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ES">
              <a:extLst>
                <a:ext uri="{FF2B5EF4-FFF2-40B4-BE49-F238E27FC236}">
                  <a16:creationId xmlns:a16="http://schemas.microsoft.com/office/drawing/2014/main" id="{41DBA62B-D9D5-FF8D-B5B5-221CEE8AE9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48300" y="2171700"/>
              <a:ext cx="2255520" cy="22936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UY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662940</xdr:colOff>
      <xdr:row>0</xdr:row>
      <xdr:rowOff>30480</xdr:rowOff>
    </xdr:from>
    <xdr:to>
      <xdr:col>9</xdr:col>
      <xdr:colOff>426720</xdr:colOff>
      <xdr:row>20</xdr:row>
      <xdr:rowOff>45720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EMANA">
              <a:extLst>
                <a:ext uri="{FF2B5EF4-FFF2-40B4-BE49-F238E27FC236}">
                  <a16:creationId xmlns:a16="http://schemas.microsoft.com/office/drawing/2014/main" id="{CE83F928-0446-2DBC-2539-FA3364412B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19060" y="30480"/>
              <a:ext cx="2141220" cy="3840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UY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2</xdr:row>
      <xdr:rowOff>182880</xdr:rowOff>
    </xdr:from>
    <xdr:to>
      <xdr:col>4</xdr:col>
      <xdr:colOff>792480</xdr:colOff>
      <xdr:row>2</xdr:row>
      <xdr:rowOff>190500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7ADCE7AA-14B9-552F-234E-AE1391A0CAA8}"/>
            </a:ext>
          </a:extLst>
        </xdr:cNvPr>
        <xdr:cNvCxnSpPr/>
      </xdr:nvCxnSpPr>
      <xdr:spPr>
        <a:xfrm flipV="1">
          <a:off x="5570220" y="746760"/>
          <a:ext cx="762000" cy="762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ederico Ramallo contreras" refreshedDate="46126.245601620372" backgroundQuery="1" createdVersion="8" refreshedVersion="8" minRefreshableVersion="3" recordCount="177" xr:uid="{942FCCF0-7311-4FA4-ADCD-05003EA4CDAC}">
  <cacheSource type="external" connectionId="1"/>
  <cacheFields count="10">
    <cacheField name="SEMANA" numFmtId="0">
      <sharedItems containsString="0" containsBlank="1" containsNumber="1" containsInteger="1" minValue="2" maxValue="52" count="51">
        <n v="5"/>
        <n v="8"/>
        <n v="9"/>
        <n v="10"/>
        <n v="12"/>
        <n v="14"/>
        <n v="16"/>
        <n v="18"/>
        <n v="22"/>
        <n v="27"/>
        <n v="31"/>
        <n v="35"/>
        <n v="39"/>
        <n v="44"/>
        <n v="48"/>
        <n v="50"/>
        <n v="3"/>
        <n v="6"/>
        <n v="23"/>
        <n v="32"/>
        <n v="36"/>
        <n v="40"/>
        <n v="45"/>
        <n v="49"/>
        <n v="4"/>
        <n v="11"/>
        <n v="13"/>
        <n v="15"/>
        <n v="17"/>
        <n v="19"/>
        <n v="20"/>
        <n v="21"/>
        <n v="24"/>
        <n v="25"/>
        <n v="26"/>
        <n v="28"/>
        <n v="29"/>
        <n v="30"/>
        <n v="33"/>
        <n v="34"/>
        <n v="37"/>
        <n v="38"/>
        <n v="41"/>
        <n v="42"/>
        <n v="43"/>
        <n v="46"/>
        <n v="47"/>
        <m/>
        <n v="51"/>
        <n v="2"/>
        <n v="52"/>
      </sharedItems>
    </cacheField>
    <cacheField name="MES" numFmtId="0">
      <sharedItems containsBlank="1" count="13">
        <s v="Enero"/>
        <s v="Febrero"/>
        <s v="Marzo"/>
        <s v="Abril"/>
        <s v="Mayo"/>
        <s v="Junio"/>
        <s v="Julio"/>
        <s v="Agosto"/>
        <s v="Setiembre"/>
        <s v="Octubre"/>
        <s v="Noviembre"/>
        <s v="Diciembre"/>
        <m/>
      </sharedItems>
    </cacheField>
    <cacheField name="EMPRESA" numFmtId="0">
      <sharedItems count="6">
        <s v="APLOMO"/>
        <s v="ESON"/>
        <s v="FEWELL"/>
        <s v="MOVIL UNO"/>
        <s v="OCEANUS"/>
        <s v="RABUFFER"/>
      </sharedItems>
    </cacheField>
    <cacheField name="ACTIVIDAD" numFmtId="0">
      <sharedItems count="55">
        <s v="Inspección de seguridad – Obra Bellevue"/>
        <s v="Inducción de Seguridad – Rubén Moreno"/>
        <s v="Envío de índices de accidentabilidad enero y febrero 2026"/>
        <s v="Inspección de seguridad"/>
        <s v="Reporte mensual SYSO SACEEM"/>
        <s v="Avita Gard"/>
        <s v="Inspección de seguridad – Obra Carrasco Hub"/>
        <s v="Asamblea de seguridad"/>
        <s v="Inspección de seguridad – San Roque Montevideo Shopping"/>
        <s v="Asamblea de Seguridad – SUNCA"/>
        <s v="Inspección de seguridad – Obra Rubicón"/>
        <s v="Inspección de seguridad – Obra Avita Gard"/>
        <s v="Asamblea de seguridad SUNCA"/>
        <s v="Capacitación orden y limpieza"/>
        <s v="Capacitación Riesgo eléctrico"/>
        <s v="Capacitación contaminantes químicos"/>
        <s v="Capacitación actuación ante emergencias"/>
        <s v="Capacitación uso herramientas eléctricas"/>
        <s v="Bipartita"/>
        <s v="Reunión con Gabriela – Evaluación de oficina"/>
        <s v="Inducción de seguridad suspendida por falla en la programación desde el taller"/>
        <s v="Reunión por Zoom – SGI con Aitana"/>
        <s v="Envío de informe de oficina"/>
        <s v="APR – Puente grúa G2 – Baja de carga"/>
        <s v="Inducción de seguridad a tres trabajadores nuevos"/>
        <s v="Envío de reportes mensuales de SySO"/>
        <s v="Ampliación de la tarea – Puente grúa G2"/>
        <s v="Inducción de seguridad"/>
        <s v="Capacitación en trabajo en altura"/>
        <s v="Difusión del plan de seguridad de descarga de barcazas"/>
        <s v="Capacitación en trabajos en caliente – 7 trabajadores"/>
        <s v="Capacitación a Pañolero Nuevo"/>
        <s v="Elaboración de procedimiento – cambio de polea en grúa del buque Unigalaxy"/>
        <s v="Capacitación Riesgo Químico y Simulacro de derrame de PQ"/>
        <s v="Envié Informe de Inspecciones de Seguridad de Marzo"/>
        <s v="Capacitación (orden y limpieza)"/>
        <s v="Capacitación (Simulacro de incendio)"/>
        <s v="Capacitación (trabajos en espacios confinados)"/>
        <s v="Capacitación"/>
        <s v="Reunión Bipartita"/>
        <s v="Insepección de Seguridad (Informe de oficina GGHH)"/>
        <s v="Reporte mensual de SST (requisito SGI)"/>
        <s v="Confección de informes – últimas dos semanas"/>
        <s v="Envío de informe semanal"/>
        <s v="Envío de reporte N.º 007"/>
        <s v="Comunicación con Enrique para certificación"/>
        <s v="Capacitación manipulación manual de cargas"/>
        <s v="Capacitación y simulacro de actuación ante Emergencias"/>
        <s v="Inspección de Seguridad en depósito y oficinas"/>
        <s v="Actualización del PPRL"/>
        <s v="Simulacro de incendio" u="1"/>
        <s v="Capacitación trabajos en espacios confinados" u="1"/>
        <s v="Inspección de Seguridad en taller" u="1"/>
        <s v="Simulacro de actuación ante accidente" u="1"/>
        <s v="Capacitación riesgos químicos" u="1"/>
      </sharedItems>
    </cacheField>
    <cacheField name="FECHA PROGRAMADA" numFmtId="0">
      <sharedItems containsSemiMixedTypes="0" containsNonDate="0" containsDate="1" containsString="0" minDate="2026-01-06T00:00:00" maxDate="2026-12-22T00:00:00" count="130">
        <d v="2026-01-28T00:00:00"/>
        <d v="2026-02-19T00:00:00"/>
        <d v="2026-02-25T00:00:00"/>
        <d v="2026-03-06T00:00:00"/>
        <d v="2026-03-19T00:00:00"/>
        <d v="2026-04-02T00:00:00"/>
        <d v="2026-04-16T00:00:00"/>
        <d v="2026-04-30T00:00:00"/>
        <d v="2026-05-30T00:00:00"/>
        <d v="2026-06-29T00:00:00"/>
        <d v="2026-07-29T00:00:00"/>
        <d v="2026-08-28T00:00:00"/>
        <d v="2026-09-27T00:00:00"/>
        <d v="2026-10-27T00:00:00"/>
        <d v="2026-11-26T00:00:00"/>
        <d v="2026-12-11T00:00:00"/>
        <d v="2026-01-16T00:00:00"/>
        <d v="2026-02-03T00:00:00"/>
        <d v="2026-03-03T00:00:00"/>
        <d v="2026-04-03T00:00:00"/>
        <d v="2026-05-03T00:00:00"/>
        <d v="2026-06-03T00:00:00"/>
        <d v="2026-07-03T00:00:00"/>
        <d v="2026-08-03T00:00:00"/>
        <d v="2026-09-03T00:00:00"/>
        <d v="2026-10-03T00:00:00"/>
        <d v="2026-11-03T00:00:00"/>
        <d v="2026-12-03T00:00:00"/>
        <d v="2026-01-23T00:00:00"/>
        <d v="2026-01-30T00:00:00"/>
        <d v="2026-02-26T00:00:00"/>
        <d v="2026-03-12T00:00:00"/>
        <d v="2026-03-20T00:00:00"/>
        <d v="2026-03-25T00:00:00"/>
        <d v="2026-04-01T00:00:00"/>
        <d v="2026-04-08T00:00:00"/>
        <d v="2026-04-15T00:00:00"/>
        <d v="2026-04-22T00:00:00"/>
        <d v="2026-04-29T00:00:00"/>
        <d v="2026-05-06T00:00:00"/>
        <d v="2026-05-13T00:00:00"/>
        <d v="2026-05-20T00:00:00"/>
        <d v="2026-05-27T00:00:00"/>
        <d v="2026-06-10T00:00:00"/>
        <d v="2026-06-17T00:00:00"/>
        <d v="2026-06-24T00:00:00"/>
        <d v="2026-07-01T00:00:00"/>
        <d v="2026-07-08T00:00:00"/>
        <d v="2026-07-15T00:00:00"/>
        <d v="2026-07-22T00:00:00"/>
        <d v="2026-08-05T00:00:00"/>
        <d v="2026-08-12T00:00:00"/>
        <d v="2026-08-19T00:00:00"/>
        <d v="2026-08-26T00:00:00"/>
        <d v="2026-09-02T00:00:00"/>
        <d v="2026-09-09T00:00:00"/>
        <d v="2026-09-16T00:00:00"/>
        <d v="2026-09-23T00:00:00"/>
        <d v="2026-09-30T00:00:00"/>
        <d v="2026-10-07T00:00:00"/>
        <d v="2026-10-14T00:00:00"/>
        <d v="2026-10-21T00:00:00"/>
        <d v="2026-10-28T00:00:00"/>
        <d v="2026-11-04T00:00:00"/>
        <d v="2026-11-11T00:00:00"/>
        <d v="2026-11-18T00:00:00"/>
        <d v="2026-11-25T00:00:00"/>
        <d v="2026-12-02T00:00:00"/>
        <d v="2026-12-09T00:00:00"/>
        <d v="2026-12-16T00:00:00"/>
        <d v="2026-04-24T00:00:00"/>
        <d v="2026-05-24T00:00:00"/>
        <d v="2026-06-23T00:00:00"/>
        <d v="2026-07-23T00:00:00"/>
        <d v="2026-08-22T00:00:00"/>
        <d v="2026-09-21T00:00:00"/>
        <d v="2026-11-20T00:00:00"/>
        <d v="2026-12-20T00:00:00"/>
        <d v="2026-01-06T00:00:00"/>
        <d v="2026-08-13T00:00:00"/>
        <d v="2026-01-19T00:00:00"/>
        <d v="2026-01-26T00:00:00"/>
        <d v="2026-01-13T00:00:00"/>
        <d v="2026-01-27T00:00:00"/>
        <d v="2026-02-24T00:00:00"/>
        <d v="2026-02-28T00:00:00"/>
        <d v="2026-03-24T00:00:00"/>
        <d v="2026-03-30T00:00:00"/>
        <d v="2026-05-08T00:00:00"/>
        <d v="2026-06-07T00:00:00"/>
        <d v="2026-07-07T00:00:00"/>
        <d v="2026-08-06T00:00:00"/>
        <d v="2026-09-05T00:00:00"/>
        <d v="2026-10-05T00:00:00"/>
        <d v="2026-12-04T00:00:00"/>
        <d v="2026-08-04T00:00:00"/>
        <d v="2026-12-01T00:00:00"/>
        <d v="2026-07-05T00:00:00"/>
        <d v="2026-11-02T00:00:00"/>
        <d v="2026-02-05T00:00:00"/>
        <d v="2026-03-07T00:00:00"/>
        <d v="2026-04-06T00:00:00"/>
        <d v="2026-06-05T00:00:00"/>
        <d v="2026-12-17T00:00:00"/>
        <d v="2026-02-23T00:00:00"/>
        <d v="2026-03-02T00:00:00"/>
        <d v="2026-03-09T00:00:00"/>
        <d v="2026-03-18T00:00:00"/>
        <d v="2026-04-13T00:00:00"/>
        <d v="2026-04-27T00:00:00"/>
        <d v="2026-05-11T00:00:00"/>
        <d v="2026-05-25T00:00:00"/>
        <d v="2026-06-08T00:00:00"/>
        <d v="2026-06-22T00:00:00"/>
        <d v="2026-07-06T00:00:00"/>
        <d v="2026-07-20T00:00:00"/>
        <d v="2026-08-17T00:00:00"/>
        <d v="2026-08-31T00:00:00"/>
        <d v="2026-09-14T00:00:00"/>
        <d v="2026-09-28T00:00:00"/>
        <d v="2026-10-12T00:00:00"/>
        <d v="2026-10-26T00:00:00"/>
        <d v="2026-11-09T00:00:00"/>
        <d v="2026-11-23T00:00:00"/>
        <d v="2026-12-07T00:00:00"/>
        <d v="2026-12-21T00:00:00"/>
        <d v="2026-04-14T00:00:00"/>
        <d v="2026-05-14T00:00:00"/>
        <d v="2026-05-29T00:00:00"/>
        <d v="2026-06-13T00:00:00"/>
      </sharedItems>
      <fieldGroup par="9"/>
    </cacheField>
    <cacheField name="FECHA REALIZADA" numFmtId="0">
      <sharedItems containsNonDate="0" containsDate="1" containsString="0" containsBlank="1" minDate="2026-01-13T00:00:00" maxDate="2026-03-31T00:00:00" count="25">
        <d v="2026-01-28T00:00:00"/>
        <d v="2026-02-19T00:00:00"/>
        <d v="2026-02-25T00:00:00"/>
        <d v="2026-03-06T00:00:00"/>
        <d v="2026-03-19T00:00:00"/>
        <m/>
        <d v="2026-01-23T00:00:00"/>
        <d v="2026-01-30T00:00:00"/>
        <d v="2026-02-26T00:00:00"/>
        <d v="2026-03-03T00:00:00"/>
        <d v="2026-03-12T00:00:00"/>
        <d v="2026-03-20T00:00:00"/>
        <d v="2026-01-19T00:00:00"/>
        <d v="2026-01-26T00:00:00"/>
        <d v="2026-01-13T00:00:00"/>
        <d v="2026-01-16T00:00:00"/>
        <d v="2026-01-27T00:00:00"/>
        <d v="2026-02-24T00:00:00"/>
        <d v="2026-02-28T00:00:00"/>
        <d v="2026-03-24T00:00:00"/>
        <d v="2026-03-30T00:00:00"/>
        <d v="2026-02-23T00:00:00"/>
        <d v="2026-03-02T00:00:00"/>
        <d v="2026-03-09T00:00:00"/>
        <d v="2026-03-18T00:00:00"/>
      </sharedItems>
    </cacheField>
    <cacheField name="ESTADO" numFmtId="0">
      <sharedItems containsBlank="1" count="3">
        <s v="HECHO"/>
        <s v="PROGRAMADO"/>
        <m u="1"/>
      </sharedItems>
    </cacheField>
    <cacheField name="OBSERVACIONES" numFmtId="0">
      <sharedItems containsBlank="1" count="3">
        <m/>
        <s v="Acta enviada 30/03/2026"/>
        <s v="Informe de Simulacro enviado 30/03/2026"/>
      </sharedItems>
    </cacheField>
    <cacheField name="Días (FECHA PROGRAMADA)" numFmtId="0" databaseField="0">
      <fieldGroup base="4">
        <rangePr groupBy="days" startDate="2026-01-06T00:00:00" endDate="2026-12-22T00:00:00"/>
        <groupItems count="368">
          <s v="&lt;6/1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2/12/2026"/>
        </groupItems>
      </fieldGroup>
    </cacheField>
    <cacheField name="Meses (FECHA PROGRAMADA)" numFmtId="0" databaseField="0">
      <fieldGroup base="4">
        <rangePr groupBy="months" startDate="2026-01-06T00:00:00" endDate="2026-12-22T00:00:00"/>
        <groupItems count="14">
          <s v="&lt;6/1/2026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22/12/2026"/>
        </groupItems>
      </fieldGroup>
    </cacheField>
  </cacheFields>
  <extLst>
    <ext xmlns:x14="http://schemas.microsoft.com/office/spreadsheetml/2009/9/main" uri="{725AE2AE-9491-48be-B2B4-4EB974FC3084}">
      <x14:pivotCacheDefinition pivotCacheId="90006893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">
  <r>
    <x v="0"/>
    <x v="0"/>
    <x v="0"/>
    <x v="0"/>
    <x v="0"/>
    <x v="0"/>
    <x v="0"/>
    <x v="0"/>
  </r>
  <r>
    <x v="1"/>
    <x v="1"/>
    <x v="0"/>
    <x v="1"/>
    <x v="1"/>
    <x v="1"/>
    <x v="0"/>
    <x v="0"/>
  </r>
  <r>
    <x v="2"/>
    <x v="1"/>
    <x v="0"/>
    <x v="0"/>
    <x v="2"/>
    <x v="2"/>
    <x v="0"/>
    <x v="0"/>
  </r>
  <r>
    <x v="3"/>
    <x v="2"/>
    <x v="0"/>
    <x v="2"/>
    <x v="3"/>
    <x v="3"/>
    <x v="0"/>
    <x v="0"/>
  </r>
  <r>
    <x v="4"/>
    <x v="2"/>
    <x v="0"/>
    <x v="3"/>
    <x v="4"/>
    <x v="4"/>
    <x v="0"/>
    <x v="0"/>
  </r>
  <r>
    <x v="5"/>
    <x v="3"/>
    <x v="0"/>
    <x v="3"/>
    <x v="5"/>
    <x v="5"/>
    <x v="1"/>
    <x v="0"/>
  </r>
  <r>
    <x v="6"/>
    <x v="3"/>
    <x v="0"/>
    <x v="3"/>
    <x v="6"/>
    <x v="5"/>
    <x v="1"/>
    <x v="0"/>
  </r>
  <r>
    <x v="7"/>
    <x v="3"/>
    <x v="0"/>
    <x v="3"/>
    <x v="7"/>
    <x v="5"/>
    <x v="1"/>
    <x v="0"/>
  </r>
  <r>
    <x v="8"/>
    <x v="4"/>
    <x v="0"/>
    <x v="3"/>
    <x v="8"/>
    <x v="5"/>
    <x v="1"/>
    <x v="0"/>
  </r>
  <r>
    <x v="9"/>
    <x v="5"/>
    <x v="0"/>
    <x v="3"/>
    <x v="9"/>
    <x v="5"/>
    <x v="1"/>
    <x v="0"/>
  </r>
  <r>
    <x v="10"/>
    <x v="6"/>
    <x v="0"/>
    <x v="3"/>
    <x v="10"/>
    <x v="5"/>
    <x v="1"/>
    <x v="0"/>
  </r>
  <r>
    <x v="11"/>
    <x v="7"/>
    <x v="0"/>
    <x v="3"/>
    <x v="11"/>
    <x v="5"/>
    <x v="1"/>
    <x v="0"/>
  </r>
  <r>
    <x v="12"/>
    <x v="8"/>
    <x v="0"/>
    <x v="3"/>
    <x v="12"/>
    <x v="5"/>
    <x v="1"/>
    <x v="0"/>
  </r>
  <r>
    <x v="13"/>
    <x v="9"/>
    <x v="0"/>
    <x v="3"/>
    <x v="13"/>
    <x v="5"/>
    <x v="1"/>
    <x v="0"/>
  </r>
  <r>
    <x v="14"/>
    <x v="10"/>
    <x v="0"/>
    <x v="3"/>
    <x v="14"/>
    <x v="5"/>
    <x v="1"/>
    <x v="0"/>
  </r>
  <r>
    <x v="15"/>
    <x v="11"/>
    <x v="0"/>
    <x v="3"/>
    <x v="15"/>
    <x v="5"/>
    <x v="1"/>
    <x v="0"/>
  </r>
  <r>
    <x v="16"/>
    <x v="0"/>
    <x v="0"/>
    <x v="4"/>
    <x v="16"/>
    <x v="5"/>
    <x v="1"/>
    <x v="0"/>
  </r>
  <r>
    <x v="17"/>
    <x v="1"/>
    <x v="0"/>
    <x v="4"/>
    <x v="17"/>
    <x v="5"/>
    <x v="1"/>
    <x v="0"/>
  </r>
  <r>
    <x v="3"/>
    <x v="2"/>
    <x v="0"/>
    <x v="4"/>
    <x v="18"/>
    <x v="5"/>
    <x v="1"/>
    <x v="0"/>
  </r>
  <r>
    <x v="5"/>
    <x v="3"/>
    <x v="0"/>
    <x v="4"/>
    <x v="19"/>
    <x v="5"/>
    <x v="1"/>
    <x v="0"/>
  </r>
  <r>
    <x v="7"/>
    <x v="4"/>
    <x v="0"/>
    <x v="4"/>
    <x v="20"/>
    <x v="5"/>
    <x v="1"/>
    <x v="0"/>
  </r>
  <r>
    <x v="18"/>
    <x v="5"/>
    <x v="0"/>
    <x v="4"/>
    <x v="21"/>
    <x v="5"/>
    <x v="1"/>
    <x v="0"/>
  </r>
  <r>
    <x v="9"/>
    <x v="6"/>
    <x v="0"/>
    <x v="4"/>
    <x v="22"/>
    <x v="5"/>
    <x v="1"/>
    <x v="0"/>
  </r>
  <r>
    <x v="19"/>
    <x v="7"/>
    <x v="0"/>
    <x v="4"/>
    <x v="23"/>
    <x v="5"/>
    <x v="1"/>
    <x v="0"/>
  </r>
  <r>
    <x v="20"/>
    <x v="8"/>
    <x v="0"/>
    <x v="4"/>
    <x v="24"/>
    <x v="5"/>
    <x v="1"/>
    <x v="0"/>
  </r>
  <r>
    <x v="21"/>
    <x v="9"/>
    <x v="0"/>
    <x v="4"/>
    <x v="25"/>
    <x v="5"/>
    <x v="1"/>
    <x v="0"/>
  </r>
  <r>
    <x v="22"/>
    <x v="10"/>
    <x v="0"/>
    <x v="4"/>
    <x v="26"/>
    <x v="5"/>
    <x v="1"/>
    <x v="0"/>
  </r>
  <r>
    <x v="23"/>
    <x v="11"/>
    <x v="0"/>
    <x v="4"/>
    <x v="27"/>
    <x v="5"/>
    <x v="1"/>
    <x v="0"/>
  </r>
  <r>
    <x v="24"/>
    <x v="0"/>
    <x v="1"/>
    <x v="5"/>
    <x v="28"/>
    <x v="6"/>
    <x v="0"/>
    <x v="0"/>
  </r>
  <r>
    <x v="0"/>
    <x v="0"/>
    <x v="1"/>
    <x v="6"/>
    <x v="0"/>
    <x v="0"/>
    <x v="0"/>
    <x v="0"/>
  </r>
  <r>
    <x v="0"/>
    <x v="0"/>
    <x v="1"/>
    <x v="7"/>
    <x v="29"/>
    <x v="7"/>
    <x v="0"/>
    <x v="0"/>
  </r>
  <r>
    <x v="2"/>
    <x v="1"/>
    <x v="1"/>
    <x v="8"/>
    <x v="2"/>
    <x v="2"/>
    <x v="0"/>
    <x v="0"/>
  </r>
  <r>
    <x v="2"/>
    <x v="1"/>
    <x v="1"/>
    <x v="9"/>
    <x v="30"/>
    <x v="8"/>
    <x v="0"/>
    <x v="0"/>
  </r>
  <r>
    <x v="3"/>
    <x v="2"/>
    <x v="1"/>
    <x v="10"/>
    <x v="18"/>
    <x v="9"/>
    <x v="0"/>
    <x v="0"/>
  </r>
  <r>
    <x v="25"/>
    <x v="2"/>
    <x v="1"/>
    <x v="11"/>
    <x v="31"/>
    <x v="10"/>
    <x v="0"/>
    <x v="0"/>
  </r>
  <r>
    <x v="4"/>
    <x v="2"/>
    <x v="1"/>
    <x v="12"/>
    <x v="32"/>
    <x v="11"/>
    <x v="0"/>
    <x v="0"/>
  </r>
  <r>
    <x v="26"/>
    <x v="2"/>
    <x v="1"/>
    <x v="3"/>
    <x v="33"/>
    <x v="5"/>
    <x v="1"/>
    <x v="0"/>
  </r>
  <r>
    <x v="5"/>
    <x v="3"/>
    <x v="1"/>
    <x v="3"/>
    <x v="34"/>
    <x v="5"/>
    <x v="1"/>
    <x v="0"/>
  </r>
  <r>
    <x v="27"/>
    <x v="3"/>
    <x v="1"/>
    <x v="3"/>
    <x v="35"/>
    <x v="5"/>
    <x v="1"/>
    <x v="0"/>
  </r>
  <r>
    <x v="6"/>
    <x v="3"/>
    <x v="1"/>
    <x v="3"/>
    <x v="36"/>
    <x v="5"/>
    <x v="1"/>
    <x v="0"/>
  </r>
  <r>
    <x v="28"/>
    <x v="3"/>
    <x v="1"/>
    <x v="3"/>
    <x v="37"/>
    <x v="5"/>
    <x v="1"/>
    <x v="0"/>
  </r>
  <r>
    <x v="7"/>
    <x v="3"/>
    <x v="1"/>
    <x v="3"/>
    <x v="38"/>
    <x v="5"/>
    <x v="1"/>
    <x v="0"/>
  </r>
  <r>
    <x v="29"/>
    <x v="4"/>
    <x v="1"/>
    <x v="3"/>
    <x v="39"/>
    <x v="5"/>
    <x v="1"/>
    <x v="0"/>
  </r>
  <r>
    <x v="30"/>
    <x v="4"/>
    <x v="1"/>
    <x v="3"/>
    <x v="40"/>
    <x v="5"/>
    <x v="1"/>
    <x v="0"/>
  </r>
  <r>
    <x v="31"/>
    <x v="4"/>
    <x v="1"/>
    <x v="3"/>
    <x v="41"/>
    <x v="5"/>
    <x v="1"/>
    <x v="0"/>
  </r>
  <r>
    <x v="8"/>
    <x v="4"/>
    <x v="1"/>
    <x v="3"/>
    <x v="42"/>
    <x v="5"/>
    <x v="1"/>
    <x v="0"/>
  </r>
  <r>
    <x v="18"/>
    <x v="5"/>
    <x v="1"/>
    <x v="3"/>
    <x v="21"/>
    <x v="5"/>
    <x v="1"/>
    <x v="0"/>
  </r>
  <r>
    <x v="32"/>
    <x v="5"/>
    <x v="1"/>
    <x v="3"/>
    <x v="43"/>
    <x v="5"/>
    <x v="1"/>
    <x v="0"/>
  </r>
  <r>
    <x v="33"/>
    <x v="5"/>
    <x v="1"/>
    <x v="3"/>
    <x v="44"/>
    <x v="5"/>
    <x v="1"/>
    <x v="0"/>
  </r>
  <r>
    <x v="34"/>
    <x v="5"/>
    <x v="1"/>
    <x v="3"/>
    <x v="45"/>
    <x v="5"/>
    <x v="1"/>
    <x v="0"/>
  </r>
  <r>
    <x v="9"/>
    <x v="6"/>
    <x v="1"/>
    <x v="3"/>
    <x v="46"/>
    <x v="5"/>
    <x v="1"/>
    <x v="0"/>
  </r>
  <r>
    <x v="35"/>
    <x v="6"/>
    <x v="1"/>
    <x v="3"/>
    <x v="47"/>
    <x v="5"/>
    <x v="1"/>
    <x v="0"/>
  </r>
  <r>
    <x v="36"/>
    <x v="6"/>
    <x v="1"/>
    <x v="3"/>
    <x v="48"/>
    <x v="5"/>
    <x v="1"/>
    <x v="0"/>
  </r>
  <r>
    <x v="37"/>
    <x v="6"/>
    <x v="1"/>
    <x v="3"/>
    <x v="49"/>
    <x v="5"/>
    <x v="1"/>
    <x v="0"/>
  </r>
  <r>
    <x v="10"/>
    <x v="6"/>
    <x v="1"/>
    <x v="3"/>
    <x v="10"/>
    <x v="5"/>
    <x v="1"/>
    <x v="0"/>
  </r>
  <r>
    <x v="19"/>
    <x v="7"/>
    <x v="1"/>
    <x v="3"/>
    <x v="50"/>
    <x v="5"/>
    <x v="1"/>
    <x v="0"/>
  </r>
  <r>
    <x v="38"/>
    <x v="7"/>
    <x v="1"/>
    <x v="3"/>
    <x v="51"/>
    <x v="5"/>
    <x v="1"/>
    <x v="0"/>
  </r>
  <r>
    <x v="39"/>
    <x v="7"/>
    <x v="1"/>
    <x v="3"/>
    <x v="52"/>
    <x v="5"/>
    <x v="1"/>
    <x v="0"/>
  </r>
  <r>
    <x v="11"/>
    <x v="7"/>
    <x v="1"/>
    <x v="3"/>
    <x v="53"/>
    <x v="5"/>
    <x v="1"/>
    <x v="0"/>
  </r>
  <r>
    <x v="20"/>
    <x v="8"/>
    <x v="1"/>
    <x v="3"/>
    <x v="54"/>
    <x v="5"/>
    <x v="1"/>
    <x v="0"/>
  </r>
  <r>
    <x v="40"/>
    <x v="8"/>
    <x v="1"/>
    <x v="3"/>
    <x v="55"/>
    <x v="5"/>
    <x v="1"/>
    <x v="0"/>
  </r>
  <r>
    <x v="41"/>
    <x v="8"/>
    <x v="1"/>
    <x v="3"/>
    <x v="56"/>
    <x v="5"/>
    <x v="1"/>
    <x v="0"/>
  </r>
  <r>
    <x v="12"/>
    <x v="8"/>
    <x v="1"/>
    <x v="3"/>
    <x v="57"/>
    <x v="5"/>
    <x v="1"/>
    <x v="0"/>
  </r>
  <r>
    <x v="21"/>
    <x v="8"/>
    <x v="1"/>
    <x v="3"/>
    <x v="58"/>
    <x v="5"/>
    <x v="1"/>
    <x v="0"/>
  </r>
  <r>
    <x v="42"/>
    <x v="9"/>
    <x v="1"/>
    <x v="3"/>
    <x v="59"/>
    <x v="5"/>
    <x v="1"/>
    <x v="0"/>
  </r>
  <r>
    <x v="43"/>
    <x v="9"/>
    <x v="1"/>
    <x v="3"/>
    <x v="60"/>
    <x v="5"/>
    <x v="1"/>
    <x v="0"/>
  </r>
  <r>
    <x v="44"/>
    <x v="9"/>
    <x v="1"/>
    <x v="3"/>
    <x v="61"/>
    <x v="5"/>
    <x v="1"/>
    <x v="0"/>
  </r>
  <r>
    <x v="13"/>
    <x v="9"/>
    <x v="1"/>
    <x v="3"/>
    <x v="62"/>
    <x v="5"/>
    <x v="1"/>
    <x v="0"/>
  </r>
  <r>
    <x v="22"/>
    <x v="10"/>
    <x v="1"/>
    <x v="3"/>
    <x v="63"/>
    <x v="5"/>
    <x v="1"/>
    <x v="0"/>
  </r>
  <r>
    <x v="45"/>
    <x v="10"/>
    <x v="1"/>
    <x v="3"/>
    <x v="64"/>
    <x v="5"/>
    <x v="1"/>
    <x v="0"/>
  </r>
  <r>
    <x v="46"/>
    <x v="10"/>
    <x v="1"/>
    <x v="3"/>
    <x v="65"/>
    <x v="5"/>
    <x v="1"/>
    <x v="0"/>
  </r>
  <r>
    <x v="14"/>
    <x v="10"/>
    <x v="1"/>
    <x v="3"/>
    <x v="66"/>
    <x v="5"/>
    <x v="1"/>
    <x v="0"/>
  </r>
  <r>
    <x v="23"/>
    <x v="11"/>
    <x v="1"/>
    <x v="3"/>
    <x v="67"/>
    <x v="5"/>
    <x v="1"/>
    <x v="0"/>
  </r>
  <r>
    <x v="15"/>
    <x v="11"/>
    <x v="1"/>
    <x v="3"/>
    <x v="68"/>
    <x v="5"/>
    <x v="1"/>
    <x v="0"/>
  </r>
  <r>
    <x v="47"/>
    <x v="12"/>
    <x v="1"/>
    <x v="3"/>
    <x v="69"/>
    <x v="5"/>
    <x v="1"/>
    <x v="0"/>
  </r>
  <r>
    <x v="2"/>
    <x v="1"/>
    <x v="1"/>
    <x v="12"/>
    <x v="30"/>
    <x v="5"/>
    <x v="0"/>
    <x v="0"/>
  </r>
  <r>
    <x v="48"/>
    <x v="11"/>
    <x v="1"/>
    <x v="12"/>
    <x v="32"/>
    <x v="5"/>
    <x v="0"/>
    <x v="1"/>
  </r>
  <r>
    <x v="28"/>
    <x v="3"/>
    <x v="1"/>
    <x v="12"/>
    <x v="70"/>
    <x v="5"/>
    <x v="1"/>
    <x v="0"/>
  </r>
  <r>
    <x v="31"/>
    <x v="4"/>
    <x v="1"/>
    <x v="12"/>
    <x v="71"/>
    <x v="5"/>
    <x v="1"/>
    <x v="0"/>
  </r>
  <r>
    <x v="34"/>
    <x v="5"/>
    <x v="1"/>
    <x v="12"/>
    <x v="72"/>
    <x v="5"/>
    <x v="1"/>
    <x v="0"/>
  </r>
  <r>
    <x v="37"/>
    <x v="6"/>
    <x v="1"/>
    <x v="12"/>
    <x v="73"/>
    <x v="5"/>
    <x v="1"/>
    <x v="0"/>
  </r>
  <r>
    <x v="39"/>
    <x v="7"/>
    <x v="1"/>
    <x v="12"/>
    <x v="74"/>
    <x v="5"/>
    <x v="1"/>
    <x v="0"/>
  </r>
  <r>
    <x v="12"/>
    <x v="8"/>
    <x v="1"/>
    <x v="12"/>
    <x v="75"/>
    <x v="5"/>
    <x v="1"/>
    <x v="0"/>
  </r>
  <r>
    <x v="44"/>
    <x v="9"/>
    <x v="1"/>
    <x v="12"/>
    <x v="61"/>
    <x v="5"/>
    <x v="1"/>
    <x v="0"/>
  </r>
  <r>
    <x v="46"/>
    <x v="10"/>
    <x v="1"/>
    <x v="12"/>
    <x v="76"/>
    <x v="5"/>
    <x v="1"/>
    <x v="0"/>
  </r>
  <r>
    <x v="48"/>
    <x v="11"/>
    <x v="1"/>
    <x v="12"/>
    <x v="77"/>
    <x v="5"/>
    <x v="1"/>
    <x v="0"/>
  </r>
  <r>
    <x v="49"/>
    <x v="0"/>
    <x v="1"/>
    <x v="13"/>
    <x v="78"/>
    <x v="5"/>
    <x v="1"/>
    <x v="0"/>
  </r>
  <r>
    <x v="49"/>
    <x v="0"/>
    <x v="1"/>
    <x v="14"/>
    <x v="78"/>
    <x v="5"/>
    <x v="1"/>
    <x v="0"/>
  </r>
  <r>
    <x v="2"/>
    <x v="1"/>
    <x v="1"/>
    <x v="15"/>
    <x v="30"/>
    <x v="8"/>
    <x v="0"/>
    <x v="0"/>
  </r>
  <r>
    <x v="49"/>
    <x v="0"/>
    <x v="1"/>
    <x v="16"/>
    <x v="78"/>
    <x v="5"/>
    <x v="1"/>
    <x v="0"/>
  </r>
  <r>
    <x v="49"/>
    <x v="0"/>
    <x v="1"/>
    <x v="17"/>
    <x v="78"/>
    <x v="5"/>
    <x v="1"/>
    <x v="0"/>
  </r>
  <r>
    <x v="6"/>
    <x v="3"/>
    <x v="1"/>
    <x v="18"/>
    <x v="36"/>
    <x v="5"/>
    <x v="1"/>
    <x v="0"/>
  </r>
  <r>
    <x v="38"/>
    <x v="7"/>
    <x v="1"/>
    <x v="18"/>
    <x v="79"/>
    <x v="5"/>
    <x v="1"/>
    <x v="0"/>
  </r>
  <r>
    <x v="15"/>
    <x v="11"/>
    <x v="1"/>
    <x v="18"/>
    <x v="15"/>
    <x v="5"/>
    <x v="1"/>
    <x v="0"/>
  </r>
  <r>
    <x v="24"/>
    <x v="0"/>
    <x v="2"/>
    <x v="3"/>
    <x v="80"/>
    <x v="12"/>
    <x v="0"/>
    <x v="0"/>
  </r>
  <r>
    <x v="0"/>
    <x v="0"/>
    <x v="2"/>
    <x v="3"/>
    <x v="81"/>
    <x v="13"/>
    <x v="0"/>
    <x v="0"/>
  </r>
  <r>
    <x v="16"/>
    <x v="0"/>
    <x v="3"/>
    <x v="19"/>
    <x v="82"/>
    <x v="14"/>
    <x v="0"/>
    <x v="0"/>
  </r>
  <r>
    <x v="16"/>
    <x v="0"/>
    <x v="3"/>
    <x v="20"/>
    <x v="16"/>
    <x v="15"/>
    <x v="0"/>
    <x v="0"/>
  </r>
  <r>
    <x v="16"/>
    <x v="0"/>
    <x v="3"/>
    <x v="21"/>
    <x v="16"/>
    <x v="15"/>
    <x v="0"/>
    <x v="0"/>
  </r>
  <r>
    <x v="0"/>
    <x v="0"/>
    <x v="3"/>
    <x v="22"/>
    <x v="83"/>
    <x v="16"/>
    <x v="0"/>
    <x v="0"/>
  </r>
  <r>
    <x v="0"/>
    <x v="0"/>
    <x v="3"/>
    <x v="23"/>
    <x v="83"/>
    <x v="16"/>
    <x v="0"/>
    <x v="0"/>
  </r>
  <r>
    <x v="0"/>
    <x v="0"/>
    <x v="3"/>
    <x v="24"/>
    <x v="0"/>
    <x v="0"/>
    <x v="0"/>
    <x v="0"/>
  </r>
  <r>
    <x v="0"/>
    <x v="0"/>
    <x v="3"/>
    <x v="25"/>
    <x v="0"/>
    <x v="0"/>
    <x v="0"/>
    <x v="0"/>
  </r>
  <r>
    <x v="0"/>
    <x v="0"/>
    <x v="3"/>
    <x v="26"/>
    <x v="0"/>
    <x v="0"/>
    <x v="0"/>
    <x v="0"/>
  </r>
  <r>
    <x v="0"/>
    <x v="0"/>
    <x v="3"/>
    <x v="27"/>
    <x v="29"/>
    <x v="7"/>
    <x v="0"/>
    <x v="0"/>
  </r>
  <r>
    <x v="0"/>
    <x v="0"/>
    <x v="3"/>
    <x v="28"/>
    <x v="29"/>
    <x v="7"/>
    <x v="0"/>
    <x v="0"/>
  </r>
  <r>
    <x v="0"/>
    <x v="0"/>
    <x v="3"/>
    <x v="29"/>
    <x v="29"/>
    <x v="7"/>
    <x v="0"/>
    <x v="0"/>
  </r>
  <r>
    <x v="2"/>
    <x v="1"/>
    <x v="3"/>
    <x v="30"/>
    <x v="84"/>
    <x v="17"/>
    <x v="0"/>
    <x v="0"/>
  </r>
  <r>
    <x v="2"/>
    <x v="1"/>
    <x v="3"/>
    <x v="31"/>
    <x v="30"/>
    <x v="8"/>
    <x v="0"/>
    <x v="0"/>
  </r>
  <r>
    <x v="2"/>
    <x v="1"/>
    <x v="3"/>
    <x v="32"/>
    <x v="85"/>
    <x v="18"/>
    <x v="0"/>
    <x v="0"/>
  </r>
  <r>
    <x v="26"/>
    <x v="2"/>
    <x v="3"/>
    <x v="33"/>
    <x v="86"/>
    <x v="19"/>
    <x v="0"/>
    <x v="2"/>
  </r>
  <r>
    <x v="5"/>
    <x v="2"/>
    <x v="3"/>
    <x v="34"/>
    <x v="87"/>
    <x v="20"/>
    <x v="0"/>
    <x v="0"/>
  </r>
  <r>
    <x v="27"/>
    <x v="3"/>
    <x v="3"/>
    <x v="35"/>
    <x v="35"/>
    <x v="5"/>
    <x v="1"/>
    <x v="0"/>
  </r>
  <r>
    <x v="29"/>
    <x v="4"/>
    <x v="3"/>
    <x v="36"/>
    <x v="88"/>
    <x v="5"/>
    <x v="1"/>
    <x v="0"/>
  </r>
  <r>
    <x v="18"/>
    <x v="5"/>
    <x v="3"/>
    <x v="37"/>
    <x v="89"/>
    <x v="5"/>
    <x v="1"/>
    <x v="0"/>
  </r>
  <r>
    <x v="35"/>
    <x v="6"/>
    <x v="3"/>
    <x v="38"/>
    <x v="90"/>
    <x v="5"/>
    <x v="1"/>
    <x v="0"/>
  </r>
  <r>
    <x v="19"/>
    <x v="7"/>
    <x v="3"/>
    <x v="38"/>
    <x v="91"/>
    <x v="5"/>
    <x v="1"/>
    <x v="0"/>
  </r>
  <r>
    <x v="20"/>
    <x v="8"/>
    <x v="3"/>
    <x v="38"/>
    <x v="92"/>
    <x v="5"/>
    <x v="1"/>
    <x v="0"/>
  </r>
  <r>
    <x v="42"/>
    <x v="9"/>
    <x v="3"/>
    <x v="38"/>
    <x v="93"/>
    <x v="5"/>
    <x v="1"/>
    <x v="0"/>
  </r>
  <r>
    <x v="22"/>
    <x v="10"/>
    <x v="3"/>
    <x v="38"/>
    <x v="63"/>
    <x v="5"/>
    <x v="1"/>
    <x v="0"/>
  </r>
  <r>
    <x v="23"/>
    <x v="11"/>
    <x v="3"/>
    <x v="38"/>
    <x v="94"/>
    <x v="5"/>
    <x v="1"/>
    <x v="0"/>
  </r>
  <r>
    <x v="27"/>
    <x v="3"/>
    <x v="3"/>
    <x v="39"/>
    <x v="35"/>
    <x v="5"/>
    <x v="1"/>
    <x v="0"/>
  </r>
  <r>
    <x v="19"/>
    <x v="7"/>
    <x v="3"/>
    <x v="39"/>
    <x v="95"/>
    <x v="5"/>
    <x v="1"/>
    <x v="0"/>
  </r>
  <r>
    <x v="23"/>
    <x v="11"/>
    <x v="3"/>
    <x v="39"/>
    <x v="96"/>
    <x v="5"/>
    <x v="1"/>
    <x v="0"/>
  </r>
  <r>
    <x v="0"/>
    <x v="0"/>
    <x v="3"/>
    <x v="40"/>
    <x v="83"/>
    <x v="16"/>
    <x v="0"/>
    <x v="0"/>
  </r>
  <r>
    <x v="26"/>
    <x v="2"/>
    <x v="3"/>
    <x v="3"/>
    <x v="86"/>
    <x v="5"/>
    <x v="0"/>
    <x v="2"/>
  </r>
  <r>
    <x v="29"/>
    <x v="4"/>
    <x v="3"/>
    <x v="3"/>
    <x v="39"/>
    <x v="5"/>
    <x v="1"/>
    <x v="0"/>
  </r>
  <r>
    <x v="9"/>
    <x v="6"/>
    <x v="3"/>
    <x v="3"/>
    <x v="97"/>
    <x v="5"/>
    <x v="1"/>
    <x v="0"/>
  </r>
  <r>
    <x v="20"/>
    <x v="8"/>
    <x v="3"/>
    <x v="3"/>
    <x v="24"/>
    <x v="5"/>
    <x v="1"/>
    <x v="0"/>
  </r>
  <r>
    <x v="22"/>
    <x v="10"/>
    <x v="3"/>
    <x v="3"/>
    <x v="98"/>
    <x v="5"/>
    <x v="1"/>
    <x v="0"/>
  </r>
  <r>
    <x v="49"/>
    <x v="0"/>
    <x v="3"/>
    <x v="41"/>
    <x v="78"/>
    <x v="5"/>
    <x v="1"/>
    <x v="0"/>
  </r>
  <r>
    <x v="17"/>
    <x v="1"/>
    <x v="3"/>
    <x v="41"/>
    <x v="99"/>
    <x v="5"/>
    <x v="1"/>
    <x v="0"/>
  </r>
  <r>
    <x v="3"/>
    <x v="2"/>
    <x v="3"/>
    <x v="41"/>
    <x v="100"/>
    <x v="5"/>
    <x v="1"/>
    <x v="0"/>
  </r>
  <r>
    <x v="27"/>
    <x v="3"/>
    <x v="3"/>
    <x v="41"/>
    <x v="101"/>
    <x v="5"/>
    <x v="1"/>
    <x v="0"/>
  </r>
  <r>
    <x v="29"/>
    <x v="4"/>
    <x v="3"/>
    <x v="41"/>
    <x v="39"/>
    <x v="5"/>
    <x v="1"/>
    <x v="0"/>
  </r>
  <r>
    <x v="18"/>
    <x v="5"/>
    <x v="3"/>
    <x v="41"/>
    <x v="102"/>
    <x v="5"/>
    <x v="1"/>
    <x v="0"/>
  </r>
  <r>
    <x v="9"/>
    <x v="6"/>
    <x v="3"/>
    <x v="41"/>
    <x v="97"/>
    <x v="5"/>
    <x v="1"/>
    <x v="0"/>
  </r>
  <r>
    <x v="19"/>
    <x v="7"/>
    <x v="3"/>
    <x v="41"/>
    <x v="95"/>
    <x v="5"/>
    <x v="1"/>
    <x v="0"/>
  </r>
  <r>
    <x v="20"/>
    <x v="8"/>
    <x v="3"/>
    <x v="41"/>
    <x v="24"/>
    <x v="5"/>
    <x v="1"/>
    <x v="0"/>
  </r>
  <r>
    <x v="21"/>
    <x v="9"/>
    <x v="3"/>
    <x v="41"/>
    <x v="25"/>
    <x v="5"/>
    <x v="1"/>
    <x v="0"/>
  </r>
  <r>
    <x v="22"/>
    <x v="10"/>
    <x v="3"/>
    <x v="41"/>
    <x v="98"/>
    <x v="5"/>
    <x v="1"/>
    <x v="0"/>
  </r>
  <r>
    <x v="23"/>
    <x v="11"/>
    <x v="3"/>
    <x v="41"/>
    <x v="67"/>
    <x v="5"/>
    <x v="1"/>
    <x v="0"/>
  </r>
  <r>
    <x v="48"/>
    <x v="11"/>
    <x v="3"/>
    <x v="41"/>
    <x v="103"/>
    <x v="5"/>
    <x v="1"/>
    <x v="0"/>
  </r>
  <r>
    <x v="2"/>
    <x v="1"/>
    <x v="4"/>
    <x v="3"/>
    <x v="104"/>
    <x v="21"/>
    <x v="0"/>
    <x v="0"/>
  </r>
  <r>
    <x v="3"/>
    <x v="2"/>
    <x v="4"/>
    <x v="3"/>
    <x v="105"/>
    <x v="22"/>
    <x v="0"/>
    <x v="0"/>
  </r>
  <r>
    <x v="3"/>
    <x v="2"/>
    <x v="4"/>
    <x v="42"/>
    <x v="18"/>
    <x v="9"/>
    <x v="0"/>
    <x v="0"/>
  </r>
  <r>
    <x v="3"/>
    <x v="2"/>
    <x v="4"/>
    <x v="43"/>
    <x v="3"/>
    <x v="3"/>
    <x v="0"/>
    <x v="0"/>
  </r>
  <r>
    <x v="25"/>
    <x v="2"/>
    <x v="4"/>
    <x v="3"/>
    <x v="106"/>
    <x v="23"/>
    <x v="0"/>
    <x v="0"/>
  </r>
  <r>
    <x v="4"/>
    <x v="2"/>
    <x v="4"/>
    <x v="3"/>
    <x v="107"/>
    <x v="24"/>
    <x v="0"/>
    <x v="0"/>
  </r>
  <r>
    <x v="4"/>
    <x v="2"/>
    <x v="4"/>
    <x v="44"/>
    <x v="4"/>
    <x v="4"/>
    <x v="0"/>
    <x v="0"/>
  </r>
  <r>
    <x v="5"/>
    <x v="2"/>
    <x v="4"/>
    <x v="3"/>
    <x v="87"/>
    <x v="5"/>
    <x v="1"/>
    <x v="0"/>
  </r>
  <r>
    <x v="6"/>
    <x v="3"/>
    <x v="4"/>
    <x v="3"/>
    <x v="108"/>
    <x v="5"/>
    <x v="1"/>
    <x v="0"/>
  </r>
  <r>
    <x v="7"/>
    <x v="3"/>
    <x v="4"/>
    <x v="3"/>
    <x v="109"/>
    <x v="5"/>
    <x v="1"/>
    <x v="0"/>
  </r>
  <r>
    <x v="30"/>
    <x v="4"/>
    <x v="4"/>
    <x v="3"/>
    <x v="110"/>
    <x v="5"/>
    <x v="1"/>
    <x v="0"/>
  </r>
  <r>
    <x v="8"/>
    <x v="4"/>
    <x v="4"/>
    <x v="3"/>
    <x v="111"/>
    <x v="5"/>
    <x v="1"/>
    <x v="0"/>
  </r>
  <r>
    <x v="32"/>
    <x v="5"/>
    <x v="4"/>
    <x v="3"/>
    <x v="112"/>
    <x v="5"/>
    <x v="1"/>
    <x v="0"/>
  </r>
  <r>
    <x v="34"/>
    <x v="5"/>
    <x v="4"/>
    <x v="3"/>
    <x v="113"/>
    <x v="5"/>
    <x v="1"/>
    <x v="0"/>
  </r>
  <r>
    <x v="35"/>
    <x v="6"/>
    <x v="4"/>
    <x v="3"/>
    <x v="114"/>
    <x v="5"/>
    <x v="1"/>
    <x v="0"/>
  </r>
  <r>
    <x v="37"/>
    <x v="6"/>
    <x v="4"/>
    <x v="3"/>
    <x v="115"/>
    <x v="5"/>
    <x v="1"/>
    <x v="0"/>
  </r>
  <r>
    <x v="19"/>
    <x v="7"/>
    <x v="4"/>
    <x v="3"/>
    <x v="23"/>
    <x v="5"/>
    <x v="1"/>
    <x v="0"/>
  </r>
  <r>
    <x v="39"/>
    <x v="7"/>
    <x v="4"/>
    <x v="3"/>
    <x v="116"/>
    <x v="5"/>
    <x v="1"/>
    <x v="0"/>
  </r>
  <r>
    <x v="20"/>
    <x v="7"/>
    <x v="4"/>
    <x v="3"/>
    <x v="117"/>
    <x v="5"/>
    <x v="1"/>
    <x v="0"/>
  </r>
  <r>
    <x v="41"/>
    <x v="8"/>
    <x v="4"/>
    <x v="3"/>
    <x v="118"/>
    <x v="5"/>
    <x v="1"/>
    <x v="0"/>
  </r>
  <r>
    <x v="21"/>
    <x v="8"/>
    <x v="4"/>
    <x v="3"/>
    <x v="119"/>
    <x v="5"/>
    <x v="1"/>
    <x v="0"/>
  </r>
  <r>
    <x v="43"/>
    <x v="9"/>
    <x v="4"/>
    <x v="3"/>
    <x v="120"/>
    <x v="5"/>
    <x v="1"/>
    <x v="0"/>
  </r>
  <r>
    <x v="13"/>
    <x v="9"/>
    <x v="4"/>
    <x v="3"/>
    <x v="121"/>
    <x v="5"/>
    <x v="1"/>
    <x v="0"/>
  </r>
  <r>
    <x v="45"/>
    <x v="10"/>
    <x v="4"/>
    <x v="3"/>
    <x v="122"/>
    <x v="5"/>
    <x v="1"/>
    <x v="0"/>
  </r>
  <r>
    <x v="14"/>
    <x v="10"/>
    <x v="4"/>
    <x v="3"/>
    <x v="123"/>
    <x v="5"/>
    <x v="1"/>
    <x v="0"/>
  </r>
  <r>
    <x v="15"/>
    <x v="11"/>
    <x v="4"/>
    <x v="3"/>
    <x v="124"/>
    <x v="5"/>
    <x v="1"/>
    <x v="0"/>
  </r>
  <r>
    <x v="50"/>
    <x v="11"/>
    <x v="4"/>
    <x v="3"/>
    <x v="125"/>
    <x v="5"/>
    <x v="1"/>
    <x v="0"/>
  </r>
  <r>
    <x v="3"/>
    <x v="2"/>
    <x v="5"/>
    <x v="45"/>
    <x v="18"/>
    <x v="9"/>
    <x v="0"/>
    <x v="0"/>
  </r>
  <r>
    <x v="26"/>
    <x v="2"/>
    <x v="5"/>
    <x v="27"/>
    <x v="33"/>
    <x v="5"/>
    <x v="1"/>
    <x v="0"/>
  </r>
  <r>
    <x v="6"/>
    <x v="3"/>
    <x v="5"/>
    <x v="46"/>
    <x v="126"/>
    <x v="5"/>
    <x v="1"/>
    <x v="0"/>
  </r>
  <r>
    <x v="7"/>
    <x v="3"/>
    <x v="5"/>
    <x v="39"/>
    <x v="38"/>
    <x v="5"/>
    <x v="1"/>
    <x v="0"/>
  </r>
  <r>
    <x v="30"/>
    <x v="4"/>
    <x v="5"/>
    <x v="47"/>
    <x v="127"/>
    <x v="5"/>
    <x v="1"/>
    <x v="0"/>
  </r>
  <r>
    <x v="8"/>
    <x v="4"/>
    <x v="5"/>
    <x v="48"/>
    <x v="128"/>
    <x v="5"/>
    <x v="1"/>
    <x v="0"/>
  </r>
  <r>
    <x v="32"/>
    <x v="5"/>
    <x v="5"/>
    <x v="49"/>
    <x v="129"/>
    <x v="5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BF738-C0A8-4870-ABD1-B70C425ADE24}" name="TablaDinámica1" cacheId="6" applyNumberFormats="0" applyBorderFormats="0" applyFontFormats="0" applyPatternFormats="0" applyAlignmentFormats="0" applyWidthHeightFormats="1" dataCaption="Valores" showMissing="0" updatedVersion="8" minRefreshableVersion="3" showDrill="0" rowGrandTotals="0" colGrandTotals="0" itemPrintTitles="1" createdVersion="8" indent="127" showHeaders="0" compact="0" compactData="0" multipleFieldFilters="0" fieldListSortAscending="1">
  <location ref="A2:D177" firstHeaderRow="0" firstDataRow="0" firstDataCol="4"/>
  <pivotFields count="10">
    <pivotField compact="0" outline="0" showAll="0" defaultSubtotal="0">
      <items count="51">
        <item x="49"/>
        <item x="16"/>
        <item x="24"/>
        <item x="0"/>
        <item x="17"/>
        <item x="1"/>
        <item x="2"/>
        <item x="3"/>
        <item x="25"/>
        <item x="4"/>
        <item x="26"/>
        <item x="5"/>
        <item x="27"/>
        <item x="6"/>
        <item x="28"/>
        <item x="7"/>
        <item x="29"/>
        <item x="30"/>
        <item x="31"/>
        <item x="8"/>
        <item x="18"/>
        <item x="32"/>
        <item x="33"/>
        <item x="34"/>
        <item x="9"/>
        <item x="35"/>
        <item x="36"/>
        <item x="37"/>
        <item x="10"/>
        <item x="19"/>
        <item x="38"/>
        <item x="39"/>
        <item x="11"/>
        <item x="20"/>
        <item x="40"/>
        <item x="41"/>
        <item x="12"/>
        <item x="21"/>
        <item x="42"/>
        <item x="43"/>
        <item x="44"/>
        <item x="13"/>
        <item x="22"/>
        <item x="45"/>
        <item x="46"/>
        <item x="14"/>
        <item x="23"/>
        <item x="15"/>
        <item x="48"/>
        <item x="50"/>
        <item x="4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ACTIVIDAD " axis="axisRow" compact="0" outline="0" showAll="0" defaultSubtotal="0">
      <items count="55">
        <item x="49"/>
        <item x="26"/>
        <item x="23"/>
        <item x="7"/>
        <item x="9"/>
        <item x="12"/>
        <item x="5"/>
        <item x="18"/>
        <item x="31"/>
        <item x="16"/>
        <item x="15"/>
        <item x="28"/>
        <item x="30"/>
        <item x="46"/>
        <item x="13"/>
        <item x="14"/>
        <item x="33"/>
        <item m="1" x="54"/>
        <item m="1" x="51"/>
        <item x="17"/>
        <item x="47"/>
        <item x="45"/>
        <item x="42"/>
        <item x="29"/>
        <item x="32"/>
        <item x="2"/>
        <item x="22"/>
        <item x="43"/>
        <item x="44"/>
        <item x="25"/>
        <item x="27"/>
        <item x="1"/>
        <item x="24"/>
        <item x="20"/>
        <item x="3"/>
        <item x="11"/>
        <item x="0"/>
        <item x="6"/>
        <item x="10"/>
        <item x="8"/>
        <item x="48"/>
        <item m="1" x="52"/>
        <item x="41"/>
        <item x="4"/>
        <item x="39"/>
        <item x="19"/>
        <item x="21"/>
        <item m="1" x="53"/>
        <item m="1" x="50"/>
        <item x="34"/>
        <item x="35"/>
        <item x="36"/>
        <item x="37"/>
        <item x="38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0">
        <item x="78"/>
        <item x="82"/>
        <item x="16"/>
        <item x="80"/>
        <item x="28"/>
        <item x="81"/>
        <item x="83"/>
        <item x="0"/>
        <item x="29"/>
        <item x="17"/>
        <item x="1"/>
        <item x="104"/>
        <item x="84"/>
        <item x="2"/>
        <item x="30"/>
        <item x="85"/>
        <item x="105"/>
        <item x="18"/>
        <item x="3"/>
        <item x="106"/>
        <item x="31"/>
        <item x="107"/>
        <item x="4"/>
        <item x="32"/>
        <item x="86"/>
        <item x="33"/>
        <item x="34"/>
        <item x="5"/>
        <item x="19"/>
        <item x="35"/>
        <item x="126"/>
        <item x="36"/>
        <item x="6"/>
        <item x="37"/>
        <item x="70"/>
        <item x="38"/>
        <item x="7"/>
        <item x="20"/>
        <item x="39"/>
        <item x="40"/>
        <item x="127"/>
        <item x="41"/>
        <item x="71"/>
        <item x="42"/>
        <item x="128"/>
        <item x="8"/>
        <item x="21"/>
        <item x="43"/>
        <item x="129"/>
        <item x="44"/>
        <item x="72"/>
        <item x="45"/>
        <item x="9"/>
        <item x="46"/>
        <item x="22"/>
        <item x="47"/>
        <item x="48"/>
        <item x="49"/>
        <item x="73"/>
        <item x="10"/>
        <item x="23"/>
        <item x="50"/>
        <item x="51"/>
        <item x="79"/>
        <item x="52"/>
        <item x="74"/>
        <item x="53"/>
        <item x="11"/>
        <item x="54"/>
        <item x="24"/>
        <item x="55"/>
        <item x="56"/>
        <item x="75"/>
        <item x="57"/>
        <item x="12"/>
        <item x="58"/>
        <item x="25"/>
        <item x="59"/>
        <item x="60"/>
        <item x="61"/>
        <item x="13"/>
        <item x="62"/>
        <item x="26"/>
        <item x="63"/>
        <item x="64"/>
        <item x="65"/>
        <item x="76"/>
        <item x="66"/>
        <item x="14"/>
        <item x="67"/>
        <item x="27"/>
        <item x="68"/>
        <item x="15"/>
        <item x="69"/>
        <item x="77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ESTADO      " axis="axisRow" compact="0" outline="0" showAll="0" defaultSubtotal="0">
      <items count="3">
        <item x="0"/>
        <item x="1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2"/>
    <field x="3"/>
    <field x="4"/>
    <field x="6"/>
  </rowFields>
  <rowItems count="176">
    <i>
      <x/>
      <x v="25"/>
      <x v="18"/>
      <x/>
    </i>
    <i r="1">
      <x v="31"/>
      <x v="10"/>
      <x/>
    </i>
    <i r="1">
      <x v="34"/>
      <x v="22"/>
      <x/>
    </i>
    <i r="2">
      <x v="27"/>
      <x v="1"/>
    </i>
    <i r="2">
      <x v="32"/>
      <x v="1"/>
    </i>
    <i r="2">
      <x v="36"/>
      <x v="1"/>
    </i>
    <i r="2">
      <x v="45"/>
      <x v="1"/>
    </i>
    <i r="2">
      <x v="52"/>
      <x v="1"/>
    </i>
    <i r="2">
      <x v="59"/>
      <x v="1"/>
    </i>
    <i r="2">
      <x v="67"/>
      <x v="1"/>
    </i>
    <i r="2">
      <x v="74"/>
      <x v="1"/>
    </i>
    <i r="2">
      <x v="80"/>
      <x v="1"/>
    </i>
    <i r="2">
      <x v="88"/>
      <x v="1"/>
    </i>
    <i r="2">
      <x v="92"/>
      <x v="1"/>
    </i>
    <i r="1">
      <x v="36"/>
      <x v="7"/>
      <x/>
    </i>
    <i r="2">
      <x v="13"/>
      <x/>
    </i>
    <i r="1">
      <x v="43"/>
      <x v="2"/>
      <x v="1"/>
    </i>
    <i r="2">
      <x v="9"/>
      <x v="1"/>
    </i>
    <i r="2">
      <x v="17"/>
      <x v="1"/>
    </i>
    <i r="2">
      <x v="28"/>
      <x v="1"/>
    </i>
    <i r="2">
      <x v="37"/>
      <x v="1"/>
    </i>
    <i r="2">
      <x v="46"/>
      <x v="1"/>
    </i>
    <i r="2">
      <x v="54"/>
      <x v="1"/>
    </i>
    <i r="2">
      <x v="60"/>
      <x v="1"/>
    </i>
    <i r="2">
      <x v="69"/>
      <x v="1"/>
    </i>
    <i r="2">
      <x v="76"/>
      <x v="1"/>
    </i>
    <i r="2">
      <x v="82"/>
      <x v="1"/>
    </i>
    <i r="2">
      <x v="90"/>
      <x v="1"/>
    </i>
    <i>
      <x v="1"/>
      <x v="3"/>
      <x v="8"/>
      <x/>
    </i>
    <i r="1">
      <x v="4"/>
      <x v="14"/>
      <x/>
    </i>
    <i r="1">
      <x v="5"/>
      <x v="14"/>
      <x/>
    </i>
    <i r="2">
      <x v="23"/>
      <x/>
    </i>
    <i r="2">
      <x v="34"/>
      <x v="1"/>
    </i>
    <i r="2">
      <x v="42"/>
      <x v="1"/>
    </i>
    <i r="2">
      <x v="50"/>
      <x v="1"/>
    </i>
    <i r="2">
      <x v="58"/>
      <x v="1"/>
    </i>
    <i r="2">
      <x v="65"/>
      <x v="1"/>
    </i>
    <i r="2">
      <x v="72"/>
      <x v="1"/>
    </i>
    <i r="2">
      <x v="79"/>
      <x v="1"/>
    </i>
    <i r="2">
      <x v="86"/>
      <x v="1"/>
    </i>
    <i r="2">
      <x v="94"/>
      <x v="1"/>
    </i>
    <i r="1">
      <x v="6"/>
      <x v="4"/>
      <x/>
    </i>
    <i r="1">
      <x v="7"/>
      <x v="31"/>
      <x v="1"/>
    </i>
    <i r="2">
      <x v="63"/>
      <x v="1"/>
    </i>
    <i r="2">
      <x v="92"/>
      <x v="1"/>
    </i>
    <i r="1">
      <x v="9"/>
      <x/>
      <x v="1"/>
    </i>
    <i r="1">
      <x v="10"/>
      <x v="14"/>
      <x/>
    </i>
    <i r="1">
      <x v="14"/>
      <x/>
      <x v="1"/>
    </i>
    <i r="1">
      <x v="15"/>
      <x/>
      <x v="1"/>
    </i>
    <i r="1">
      <x v="19"/>
      <x/>
      <x v="1"/>
    </i>
    <i r="1">
      <x v="34"/>
      <x v="25"/>
      <x v="1"/>
    </i>
    <i r="2">
      <x v="26"/>
      <x v="1"/>
    </i>
    <i r="2">
      <x v="29"/>
      <x v="1"/>
    </i>
    <i r="2">
      <x v="31"/>
      <x v="1"/>
    </i>
    <i r="2">
      <x v="33"/>
      <x v="1"/>
    </i>
    <i r="2">
      <x v="35"/>
      <x v="1"/>
    </i>
    <i r="2">
      <x v="38"/>
      <x v="1"/>
    </i>
    <i r="2">
      <x v="39"/>
      <x v="1"/>
    </i>
    <i r="2">
      <x v="41"/>
      <x v="1"/>
    </i>
    <i r="2">
      <x v="43"/>
      <x v="1"/>
    </i>
    <i r="2">
      <x v="46"/>
      <x v="1"/>
    </i>
    <i r="2">
      <x v="47"/>
      <x v="1"/>
    </i>
    <i r="2">
      <x v="49"/>
      <x v="1"/>
    </i>
    <i r="2">
      <x v="51"/>
      <x v="1"/>
    </i>
    <i r="2">
      <x v="53"/>
      <x v="1"/>
    </i>
    <i r="2">
      <x v="55"/>
      <x v="1"/>
    </i>
    <i r="2">
      <x v="56"/>
      <x v="1"/>
    </i>
    <i r="2">
      <x v="57"/>
      <x v="1"/>
    </i>
    <i r="2">
      <x v="59"/>
      <x v="1"/>
    </i>
    <i r="2">
      <x v="61"/>
      <x v="1"/>
    </i>
    <i r="2">
      <x v="62"/>
      <x v="1"/>
    </i>
    <i r="2">
      <x v="64"/>
      <x v="1"/>
    </i>
    <i r="2">
      <x v="66"/>
      <x v="1"/>
    </i>
    <i r="2">
      <x v="68"/>
      <x v="1"/>
    </i>
    <i r="2">
      <x v="70"/>
      <x v="1"/>
    </i>
    <i r="2">
      <x v="71"/>
      <x v="1"/>
    </i>
    <i r="2">
      <x v="73"/>
      <x v="1"/>
    </i>
    <i r="2">
      <x v="75"/>
      <x v="1"/>
    </i>
    <i r="2">
      <x v="77"/>
      <x v="1"/>
    </i>
    <i r="2">
      <x v="78"/>
      <x v="1"/>
    </i>
    <i r="2">
      <x v="79"/>
      <x v="1"/>
    </i>
    <i r="2">
      <x v="81"/>
      <x v="1"/>
    </i>
    <i r="2">
      <x v="83"/>
      <x v="1"/>
    </i>
    <i r="2">
      <x v="84"/>
      <x v="1"/>
    </i>
    <i r="2">
      <x v="85"/>
      <x v="1"/>
    </i>
    <i r="2">
      <x v="87"/>
      <x v="1"/>
    </i>
    <i r="2">
      <x v="89"/>
      <x v="1"/>
    </i>
    <i r="2">
      <x v="91"/>
      <x v="1"/>
    </i>
    <i r="2">
      <x v="93"/>
      <x v="1"/>
    </i>
    <i r="1">
      <x v="35"/>
      <x v="20"/>
      <x/>
    </i>
    <i r="1">
      <x v="37"/>
      <x v="7"/>
      <x/>
    </i>
    <i r="1">
      <x v="38"/>
      <x v="17"/>
      <x/>
    </i>
    <i r="1">
      <x v="39"/>
      <x v="13"/>
      <x/>
    </i>
    <i>
      <x v="2"/>
      <x v="34"/>
      <x v="3"/>
      <x/>
    </i>
    <i r="2">
      <x v="5"/>
      <x/>
    </i>
    <i>
      <x v="3"/>
      <x v="1"/>
      <x v="7"/>
      <x/>
    </i>
    <i r="1">
      <x v="2"/>
      <x v="6"/>
      <x/>
    </i>
    <i r="1">
      <x v="8"/>
      <x v="14"/>
      <x/>
    </i>
    <i r="1">
      <x v="11"/>
      <x v="8"/>
      <x/>
    </i>
    <i r="1">
      <x v="12"/>
      <x v="12"/>
      <x/>
    </i>
    <i r="1">
      <x v="16"/>
      <x v="24"/>
      <x/>
    </i>
    <i r="1">
      <x v="23"/>
      <x v="8"/>
      <x/>
    </i>
    <i r="1">
      <x v="24"/>
      <x v="15"/>
      <x/>
    </i>
    <i r="1">
      <x v="26"/>
      <x v="6"/>
      <x/>
    </i>
    <i r="1">
      <x v="29"/>
      <x v="7"/>
      <x/>
    </i>
    <i r="1">
      <x v="30"/>
      <x v="8"/>
      <x/>
    </i>
    <i r="1">
      <x v="32"/>
      <x v="7"/>
      <x/>
    </i>
    <i r="1">
      <x v="33"/>
      <x v="2"/>
      <x/>
    </i>
    <i r="1">
      <x v="34"/>
      <x v="24"/>
      <x/>
    </i>
    <i r="2">
      <x v="38"/>
      <x v="1"/>
    </i>
    <i r="2">
      <x v="69"/>
      <x v="1"/>
    </i>
    <i r="2">
      <x v="105"/>
      <x v="1"/>
    </i>
    <i r="2">
      <x v="106"/>
      <x v="1"/>
    </i>
    <i r="1">
      <x v="42"/>
      <x/>
      <x v="1"/>
    </i>
    <i r="2">
      <x v="38"/>
      <x v="1"/>
    </i>
    <i r="2">
      <x v="69"/>
      <x v="1"/>
    </i>
    <i r="2">
      <x v="76"/>
      <x v="1"/>
    </i>
    <i r="2">
      <x v="89"/>
      <x v="1"/>
    </i>
    <i r="2">
      <x v="103"/>
      <x v="1"/>
    </i>
    <i r="2">
      <x v="105"/>
      <x v="1"/>
    </i>
    <i r="2">
      <x v="106"/>
      <x v="1"/>
    </i>
    <i r="2">
      <x v="107"/>
      <x v="1"/>
    </i>
    <i r="2">
      <x v="108"/>
      <x v="1"/>
    </i>
    <i r="2">
      <x v="109"/>
      <x v="1"/>
    </i>
    <i r="2">
      <x v="110"/>
      <x v="1"/>
    </i>
    <i r="2">
      <x v="111"/>
      <x v="1"/>
    </i>
    <i r="1">
      <x v="44"/>
      <x v="29"/>
      <x v="1"/>
    </i>
    <i r="2">
      <x v="103"/>
      <x v="1"/>
    </i>
    <i r="2">
      <x v="104"/>
      <x v="1"/>
    </i>
    <i r="1">
      <x v="45"/>
      <x v="1"/>
      <x/>
    </i>
    <i r="1">
      <x v="46"/>
      <x v="2"/>
      <x/>
    </i>
    <i r="1">
      <x v="49"/>
      <x v="95"/>
      <x/>
    </i>
    <i r="1">
      <x v="50"/>
      <x v="29"/>
      <x v="1"/>
    </i>
    <i r="1">
      <x v="51"/>
      <x v="96"/>
      <x v="1"/>
    </i>
    <i r="1">
      <x v="52"/>
      <x v="97"/>
      <x v="1"/>
    </i>
    <i r="1">
      <x v="53"/>
      <x v="83"/>
      <x v="1"/>
    </i>
    <i r="2">
      <x v="98"/>
      <x v="1"/>
    </i>
    <i r="2">
      <x v="99"/>
      <x v="1"/>
    </i>
    <i r="2">
      <x v="100"/>
      <x v="1"/>
    </i>
    <i r="2">
      <x v="101"/>
      <x v="1"/>
    </i>
    <i r="2">
      <x v="102"/>
      <x v="1"/>
    </i>
    <i r="1">
      <x v="54"/>
      <x v="6"/>
      <x/>
    </i>
    <i>
      <x v="4"/>
      <x v="22"/>
      <x v="17"/>
      <x/>
    </i>
    <i r="1">
      <x v="27"/>
      <x v="18"/>
      <x/>
    </i>
    <i r="1">
      <x v="28"/>
      <x v="22"/>
      <x/>
    </i>
    <i r="1">
      <x v="34"/>
      <x v="11"/>
      <x/>
    </i>
    <i r="2">
      <x v="16"/>
      <x/>
    </i>
    <i r="2">
      <x v="19"/>
      <x/>
    </i>
    <i r="2">
      <x v="21"/>
      <x/>
    </i>
    <i r="2">
      <x v="60"/>
      <x v="1"/>
    </i>
    <i r="2">
      <x v="95"/>
      <x v="1"/>
    </i>
    <i r="2">
      <x v="112"/>
      <x v="1"/>
    </i>
    <i r="2">
      <x v="113"/>
      <x v="1"/>
    </i>
    <i r="2">
      <x v="114"/>
      <x v="1"/>
    </i>
    <i r="2">
      <x v="115"/>
      <x v="1"/>
    </i>
    <i r="2">
      <x v="116"/>
      <x v="1"/>
    </i>
    <i r="2">
      <x v="117"/>
      <x v="1"/>
    </i>
    <i r="2">
      <x v="118"/>
      <x v="1"/>
    </i>
    <i r="2">
      <x v="119"/>
      <x v="1"/>
    </i>
    <i r="2">
      <x v="120"/>
      <x v="1"/>
    </i>
    <i r="2">
      <x v="121"/>
      <x v="1"/>
    </i>
    <i r="2">
      <x v="122"/>
      <x v="1"/>
    </i>
    <i r="2">
      <x v="123"/>
      <x v="1"/>
    </i>
    <i r="2">
      <x v="124"/>
      <x v="1"/>
    </i>
    <i r="2">
      <x v="125"/>
      <x v="1"/>
    </i>
    <i r="2">
      <x v="126"/>
      <x v="1"/>
    </i>
    <i r="2">
      <x v="127"/>
      <x v="1"/>
    </i>
    <i r="2">
      <x v="128"/>
      <x v="1"/>
    </i>
    <i r="2">
      <x v="129"/>
      <x v="1"/>
    </i>
    <i>
      <x v="5"/>
      <x/>
      <x v="48"/>
      <x v="1"/>
    </i>
    <i r="1">
      <x v="13"/>
      <x v="30"/>
      <x v="1"/>
    </i>
    <i r="1">
      <x v="20"/>
      <x v="40"/>
      <x v="1"/>
    </i>
    <i r="1">
      <x v="21"/>
      <x v="17"/>
      <x/>
    </i>
    <i r="1">
      <x v="30"/>
      <x v="25"/>
      <x v="1"/>
    </i>
    <i r="1">
      <x v="40"/>
      <x v="44"/>
      <x v="1"/>
    </i>
    <i r="1">
      <x v="44"/>
      <x v="35"/>
      <x v="1"/>
    </i>
  </rowItems>
  <colItems count="1">
    <i/>
  </colItems>
  <formats count="370">
    <format dxfId="3356">
      <pivotArea field="6" type="button" dataOnly="0" labelOnly="1" outline="0" axis="axisRow" fieldPosition="3"/>
    </format>
    <format dxfId="3355">
      <pivotArea dataOnly="0" labelOnly="1" outline="0" fieldPosition="0">
        <references count="2">
          <reference field="2" count="0" selected="0"/>
          <reference field="3" count="1">
            <x v="3"/>
          </reference>
        </references>
      </pivotArea>
    </format>
    <format dxfId="3354">
      <pivotArea dataOnly="0" labelOnly="1" outline="0" fieldPosition="0">
        <references count="1">
          <reference field="2" count="0"/>
        </references>
      </pivotArea>
    </format>
    <format dxfId="3353">
      <pivotArea dataOnly="0" labelOnly="1" outline="0" fieldPosition="0">
        <references count="4">
          <reference field="2" count="0" selected="0"/>
          <reference field="3" count="1" selected="0">
            <x v="3"/>
          </reference>
          <reference field="4" count="1" selected="0">
            <x v="8"/>
          </reference>
          <reference field="6" count="1">
            <x v="0"/>
          </reference>
        </references>
      </pivotArea>
    </format>
    <format dxfId="3352">
      <pivotArea dataOnly="0" labelOnly="1" outline="0" fieldPosition="0">
        <references count="4">
          <reference field="2" count="0" selected="0"/>
          <reference field="3" count="1" selected="0">
            <x v="4"/>
          </reference>
          <reference field="4" count="1" selected="0">
            <x v="14"/>
          </reference>
          <reference field="6" count="1">
            <x v="0"/>
          </reference>
        </references>
      </pivotArea>
    </format>
    <format dxfId="3351">
      <pivotArea dataOnly="0" labelOnly="1" outline="0" fieldPosition="0">
        <references count="4">
          <reference field="2" count="0" selected="0"/>
          <reference field="3" count="1" selected="0">
            <x v="5"/>
          </reference>
          <reference field="4" count="1" selected="0">
            <x v="23"/>
          </reference>
          <reference field="6" count="1">
            <x v="0"/>
          </reference>
        </references>
      </pivotArea>
    </format>
    <format dxfId="3350">
      <pivotArea dataOnly="0" labelOnly="1" outline="0" fieldPosition="0">
        <references count="4">
          <reference field="2" count="0" selected="0"/>
          <reference field="3" count="1" selected="0">
            <x v="5"/>
          </reference>
          <reference field="4" count="1" selected="0">
            <x v="34"/>
          </reference>
          <reference field="6" count="1">
            <x v="1"/>
          </reference>
        </references>
      </pivotArea>
    </format>
    <format dxfId="3349">
      <pivotArea dataOnly="0" labelOnly="1" outline="0" fieldPosition="0">
        <references count="4">
          <reference field="2" count="0" selected="0"/>
          <reference field="3" count="1" selected="0">
            <x v="5"/>
          </reference>
          <reference field="4" count="1" selected="0">
            <x v="42"/>
          </reference>
          <reference field="6" count="1">
            <x v="1"/>
          </reference>
        </references>
      </pivotArea>
    </format>
    <format dxfId="3348">
      <pivotArea dataOnly="0" labelOnly="1" outline="0" fieldPosition="0">
        <references count="4">
          <reference field="2" count="0" selected="0"/>
          <reference field="3" count="1" selected="0">
            <x v="5"/>
          </reference>
          <reference field="4" count="1" selected="0">
            <x v="50"/>
          </reference>
          <reference field="6" count="1">
            <x v="1"/>
          </reference>
        </references>
      </pivotArea>
    </format>
    <format dxfId="3347">
      <pivotArea dataOnly="0" labelOnly="1" outline="0" fieldPosition="0">
        <references count="4">
          <reference field="2" count="0" selected="0"/>
          <reference field="3" count="1" selected="0">
            <x v="5"/>
          </reference>
          <reference field="4" count="1" selected="0">
            <x v="58"/>
          </reference>
          <reference field="6" count="1">
            <x v="1"/>
          </reference>
        </references>
      </pivotArea>
    </format>
    <format dxfId="3346">
      <pivotArea dataOnly="0" labelOnly="1" outline="0" fieldPosition="0">
        <references count="4">
          <reference field="2" count="0" selected="0"/>
          <reference field="3" count="1" selected="0">
            <x v="5"/>
          </reference>
          <reference field="4" count="1" selected="0">
            <x v="65"/>
          </reference>
          <reference field="6" count="1">
            <x v="1"/>
          </reference>
        </references>
      </pivotArea>
    </format>
    <format dxfId="3345">
      <pivotArea dataOnly="0" labelOnly="1" outline="0" fieldPosition="0">
        <references count="4">
          <reference field="2" count="0" selected="0"/>
          <reference field="3" count="1" selected="0">
            <x v="5"/>
          </reference>
          <reference field="4" count="1" selected="0">
            <x v="72"/>
          </reference>
          <reference field="6" count="1">
            <x v="1"/>
          </reference>
        </references>
      </pivotArea>
    </format>
    <format dxfId="3344">
      <pivotArea dataOnly="0" labelOnly="1" outline="0" fieldPosition="0">
        <references count="4">
          <reference field="2" count="0" selected="0"/>
          <reference field="3" count="1" selected="0">
            <x v="5"/>
          </reference>
          <reference field="4" count="1" selected="0">
            <x v="79"/>
          </reference>
          <reference field="6" count="1">
            <x v="1"/>
          </reference>
        </references>
      </pivotArea>
    </format>
    <format dxfId="3343">
      <pivotArea dataOnly="0" labelOnly="1" outline="0" fieldPosition="0">
        <references count="4">
          <reference field="2" count="0" selected="0"/>
          <reference field="3" count="1" selected="0">
            <x v="5"/>
          </reference>
          <reference field="4" count="1" selected="0">
            <x v="86"/>
          </reference>
          <reference field="6" count="1">
            <x v="1"/>
          </reference>
        </references>
      </pivotArea>
    </format>
    <format dxfId="3342">
      <pivotArea dataOnly="0" labelOnly="1" outline="0" fieldPosition="0">
        <references count="4">
          <reference field="2" count="0" selected="0"/>
          <reference field="3" count="1" selected="0">
            <x v="5"/>
          </reference>
          <reference field="4" count="1" selected="0">
            <x v="94"/>
          </reference>
          <reference field="6" count="1">
            <x v="1"/>
          </reference>
        </references>
      </pivotArea>
    </format>
    <format dxfId="3341">
      <pivotArea dataOnly="0" labelOnly="1" outline="0" fieldPosition="0">
        <references count="4">
          <reference field="2" count="0" selected="0"/>
          <reference field="3" count="1" selected="0">
            <x v="6"/>
          </reference>
          <reference field="4" count="1" selected="0">
            <x v="4"/>
          </reference>
          <reference field="6" count="1">
            <x v="0"/>
          </reference>
        </references>
      </pivotArea>
    </format>
    <format dxfId="3340">
      <pivotArea dataOnly="0" labelOnly="1" outline="0" fieldPosition="0">
        <references count="4">
          <reference field="2" count="0" selected="0"/>
          <reference field="3" count="1" selected="0">
            <x v="7"/>
          </reference>
          <reference field="4" count="1" selected="0">
            <x v="0"/>
          </reference>
          <reference field="6" count="1">
            <x v="1"/>
          </reference>
        </references>
      </pivotArea>
    </format>
    <format dxfId="3339">
      <pivotArea dataOnly="0" labelOnly="1" outline="0" fieldPosition="0">
        <references count="4">
          <reference field="2" count="0" selected="0"/>
          <reference field="3" count="1" selected="0">
            <x v="7"/>
          </reference>
          <reference field="4" count="1" selected="0">
            <x v="31"/>
          </reference>
          <reference field="6" count="1">
            <x v="1"/>
          </reference>
        </references>
      </pivotArea>
    </format>
    <format dxfId="3338">
      <pivotArea dataOnly="0" labelOnly="1" outline="0" fieldPosition="0">
        <references count="4">
          <reference field="2" count="0" selected="0"/>
          <reference field="3" count="1" selected="0">
            <x v="7"/>
          </reference>
          <reference field="4" count="1" selected="0">
            <x v="63"/>
          </reference>
          <reference field="6" count="1">
            <x v="1"/>
          </reference>
        </references>
      </pivotArea>
    </format>
    <format dxfId="3337">
      <pivotArea dataOnly="0" labelOnly="1" outline="0" fieldPosition="0">
        <references count="4">
          <reference field="2" count="0" selected="0"/>
          <reference field="3" count="1" selected="0">
            <x v="7"/>
          </reference>
          <reference field="4" count="1" selected="0">
            <x v="92"/>
          </reference>
          <reference field="6" count="1">
            <x v="1"/>
          </reference>
        </references>
      </pivotArea>
    </format>
    <format dxfId="3336">
      <pivotArea dataOnly="0" labelOnly="1" outline="0" fieldPosition="0">
        <references count="4">
          <reference field="2" count="0" selected="0"/>
          <reference field="3" count="1" selected="0">
            <x v="9"/>
          </reference>
          <reference field="4" count="1" selected="0">
            <x v="0"/>
          </reference>
          <reference field="6" count="1">
            <x v="1"/>
          </reference>
        </references>
      </pivotArea>
    </format>
    <format dxfId="3335">
      <pivotArea dataOnly="0" labelOnly="1" outline="0" fieldPosition="0">
        <references count="4">
          <reference field="2" count="0" selected="0"/>
          <reference field="3" count="1" selected="0">
            <x v="10"/>
          </reference>
          <reference field="4" count="1" selected="0">
            <x v="0"/>
          </reference>
          <reference field="6" count="1">
            <x v="1"/>
          </reference>
        </references>
      </pivotArea>
    </format>
    <format dxfId="3334">
      <pivotArea dataOnly="0" labelOnly="1" outline="0" fieldPosition="0">
        <references count="4">
          <reference field="2" count="0" selected="0"/>
          <reference field="3" count="1" selected="0">
            <x v="14"/>
          </reference>
          <reference field="4" count="1" selected="0">
            <x v="0"/>
          </reference>
          <reference field="6" count="1">
            <x v="1"/>
          </reference>
        </references>
      </pivotArea>
    </format>
    <format dxfId="3333">
      <pivotArea dataOnly="0" labelOnly="1" outline="0" fieldPosition="0">
        <references count="4">
          <reference field="2" count="0" selected="0"/>
          <reference field="3" count="1" selected="0">
            <x v="15"/>
          </reference>
          <reference field="4" count="1" selected="0">
            <x v="0"/>
          </reference>
          <reference field="6" count="1">
            <x v="1"/>
          </reference>
        </references>
      </pivotArea>
    </format>
    <format dxfId="3332">
      <pivotArea dataOnly="0" labelOnly="1" outline="0" fieldPosition="0">
        <references count="4">
          <reference field="2" count="0" selected="0"/>
          <reference field="3" count="1" selected="0">
            <x v="19"/>
          </reference>
          <reference field="4" count="1" selected="0">
            <x v="0"/>
          </reference>
          <reference field="6" count="1">
            <x v="1"/>
          </reference>
        </references>
      </pivotArea>
    </format>
    <format dxfId="3331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25"/>
          </reference>
          <reference field="6" count="1">
            <x v="1"/>
          </reference>
        </references>
      </pivotArea>
    </format>
    <format dxfId="3330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26"/>
          </reference>
          <reference field="6" count="1">
            <x v="1"/>
          </reference>
        </references>
      </pivotArea>
    </format>
    <format dxfId="3329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29"/>
          </reference>
          <reference field="6" count="1">
            <x v="1"/>
          </reference>
        </references>
      </pivotArea>
    </format>
    <format dxfId="3328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31"/>
          </reference>
          <reference field="6" count="1">
            <x v="1"/>
          </reference>
        </references>
      </pivotArea>
    </format>
    <format dxfId="3327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33"/>
          </reference>
          <reference field="6" count="1">
            <x v="1"/>
          </reference>
        </references>
      </pivotArea>
    </format>
    <format dxfId="3326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35"/>
          </reference>
          <reference field="6" count="1">
            <x v="1"/>
          </reference>
        </references>
      </pivotArea>
    </format>
    <format dxfId="3325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38"/>
          </reference>
          <reference field="6" count="1">
            <x v="1"/>
          </reference>
        </references>
      </pivotArea>
    </format>
    <format dxfId="3324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39"/>
          </reference>
          <reference field="6" count="1">
            <x v="1"/>
          </reference>
        </references>
      </pivotArea>
    </format>
    <format dxfId="3323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41"/>
          </reference>
          <reference field="6" count="1">
            <x v="1"/>
          </reference>
        </references>
      </pivotArea>
    </format>
    <format dxfId="3322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43"/>
          </reference>
          <reference field="6" count="1">
            <x v="1"/>
          </reference>
        </references>
      </pivotArea>
    </format>
    <format dxfId="3321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46"/>
          </reference>
          <reference field="6" count="1">
            <x v="1"/>
          </reference>
        </references>
      </pivotArea>
    </format>
    <format dxfId="3320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47"/>
          </reference>
          <reference field="6" count="1">
            <x v="1"/>
          </reference>
        </references>
      </pivotArea>
    </format>
    <format dxfId="3319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49"/>
          </reference>
          <reference field="6" count="1">
            <x v="1"/>
          </reference>
        </references>
      </pivotArea>
    </format>
    <format dxfId="3318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51"/>
          </reference>
          <reference field="6" count="1">
            <x v="1"/>
          </reference>
        </references>
      </pivotArea>
    </format>
    <format dxfId="3317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53"/>
          </reference>
          <reference field="6" count="1">
            <x v="1"/>
          </reference>
        </references>
      </pivotArea>
    </format>
    <format dxfId="3316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55"/>
          </reference>
          <reference field="6" count="1">
            <x v="1"/>
          </reference>
        </references>
      </pivotArea>
    </format>
    <format dxfId="3315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56"/>
          </reference>
          <reference field="6" count="1">
            <x v="1"/>
          </reference>
        </references>
      </pivotArea>
    </format>
    <format dxfId="3314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57"/>
          </reference>
          <reference field="6" count="1">
            <x v="1"/>
          </reference>
        </references>
      </pivotArea>
    </format>
    <format dxfId="3313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59"/>
          </reference>
          <reference field="6" count="1">
            <x v="1"/>
          </reference>
        </references>
      </pivotArea>
    </format>
    <format dxfId="3312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61"/>
          </reference>
          <reference field="6" count="1">
            <x v="1"/>
          </reference>
        </references>
      </pivotArea>
    </format>
    <format dxfId="3311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62"/>
          </reference>
          <reference field="6" count="1">
            <x v="1"/>
          </reference>
        </references>
      </pivotArea>
    </format>
    <format dxfId="3310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64"/>
          </reference>
          <reference field="6" count="1">
            <x v="1"/>
          </reference>
        </references>
      </pivotArea>
    </format>
    <format dxfId="3309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66"/>
          </reference>
          <reference field="6" count="1">
            <x v="1"/>
          </reference>
        </references>
      </pivotArea>
    </format>
    <format dxfId="3308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68"/>
          </reference>
          <reference field="6" count="1">
            <x v="1"/>
          </reference>
        </references>
      </pivotArea>
    </format>
    <format dxfId="3307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70"/>
          </reference>
          <reference field="6" count="1">
            <x v="1"/>
          </reference>
        </references>
      </pivotArea>
    </format>
    <format dxfId="3306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71"/>
          </reference>
          <reference field="6" count="1">
            <x v="1"/>
          </reference>
        </references>
      </pivotArea>
    </format>
    <format dxfId="3305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73"/>
          </reference>
          <reference field="6" count="1">
            <x v="1"/>
          </reference>
        </references>
      </pivotArea>
    </format>
    <format dxfId="3304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75"/>
          </reference>
          <reference field="6" count="1">
            <x v="1"/>
          </reference>
        </references>
      </pivotArea>
    </format>
    <format dxfId="3303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77"/>
          </reference>
          <reference field="6" count="1">
            <x v="1"/>
          </reference>
        </references>
      </pivotArea>
    </format>
    <format dxfId="3302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78"/>
          </reference>
          <reference field="6" count="1">
            <x v="1"/>
          </reference>
        </references>
      </pivotArea>
    </format>
    <format dxfId="3301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79"/>
          </reference>
          <reference field="6" count="1">
            <x v="1"/>
          </reference>
        </references>
      </pivotArea>
    </format>
    <format dxfId="3300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81"/>
          </reference>
          <reference field="6" count="1">
            <x v="1"/>
          </reference>
        </references>
      </pivotArea>
    </format>
    <format dxfId="3299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83"/>
          </reference>
          <reference field="6" count="1">
            <x v="1"/>
          </reference>
        </references>
      </pivotArea>
    </format>
    <format dxfId="3298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84"/>
          </reference>
          <reference field="6" count="1">
            <x v="1"/>
          </reference>
        </references>
      </pivotArea>
    </format>
    <format dxfId="3297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85"/>
          </reference>
          <reference field="6" count="1">
            <x v="1"/>
          </reference>
        </references>
      </pivotArea>
    </format>
    <format dxfId="3296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87"/>
          </reference>
          <reference field="6" count="1">
            <x v="1"/>
          </reference>
        </references>
      </pivotArea>
    </format>
    <format dxfId="3295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89"/>
          </reference>
          <reference field="6" count="1">
            <x v="1"/>
          </reference>
        </references>
      </pivotArea>
    </format>
    <format dxfId="3294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91"/>
          </reference>
          <reference field="6" count="1">
            <x v="1"/>
          </reference>
        </references>
      </pivotArea>
    </format>
    <format dxfId="3293">
      <pivotArea dataOnly="0" labelOnly="1" outline="0" fieldPosition="0">
        <references count="4">
          <reference field="2" count="0" selected="0"/>
          <reference field="3" count="1" selected="0">
            <x v="34"/>
          </reference>
          <reference field="4" count="1" selected="0">
            <x v="93"/>
          </reference>
          <reference field="6" count="1">
            <x v="1"/>
          </reference>
        </references>
      </pivotArea>
    </format>
    <format dxfId="3292">
      <pivotArea dataOnly="0" labelOnly="1" outline="0" fieldPosition="0">
        <references count="4">
          <reference field="2" count="0" selected="0"/>
          <reference field="3" count="1" selected="0">
            <x v="35"/>
          </reference>
          <reference field="4" count="1" selected="0">
            <x v="20"/>
          </reference>
          <reference field="6" count="1">
            <x v="0"/>
          </reference>
        </references>
      </pivotArea>
    </format>
    <format dxfId="3291">
      <pivotArea dataOnly="0" labelOnly="1" outline="0" fieldPosition="0">
        <references count="4">
          <reference field="2" count="0" selected="0"/>
          <reference field="3" count="1" selected="0">
            <x v="37"/>
          </reference>
          <reference field="4" count="1" selected="0">
            <x v="7"/>
          </reference>
          <reference field="6" count="1">
            <x v="0"/>
          </reference>
        </references>
      </pivotArea>
    </format>
    <format dxfId="3290">
      <pivotArea dataOnly="0" labelOnly="1" outline="0" fieldPosition="0">
        <references count="4">
          <reference field="2" count="0" selected="0"/>
          <reference field="3" count="1" selected="0">
            <x v="38"/>
          </reference>
          <reference field="4" count="1" selected="0">
            <x v="17"/>
          </reference>
          <reference field="6" count="1">
            <x v="0"/>
          </reference>
        </references>
      </pivotArea>
    </format>
    <format dxfId="3289">
      <pivotArea dataOnly="0" labelOnly="1" outline="0" fieldPosition="0">
        <references count="4">
          <reference field="2" count="0" selected="0"/>
          <reference field="3" count="1" selected="0">
            <x v="39"/>
          </reference>
          <reference field="4" count="1" selected="0">
            <x v="13"/>
          </reference>
          <reference field="6" count="1">
            <x v="0"/>
          </reference>
        </references>
      </pivotArea>
    </format>
    <format dxfId="3288">
      <pivotArea dataOnly="0" labelOnly="1" outline="0" fieldPosition="0">
        <references count="3">
          <reference field="2" count="0" selected="0"/>
          <reference field="3" count="1" selected="0">
            <x v="3"/>
          </reference>
          <reference field="4" count="1">
            <x v="8"/>
          </reference>
        </references>
      </pivotArea>
    </format>
    <format dxfId="3287">
      <pivotArea dataOnly="0" labelOnly="1" outline="0" fieldPosition="0">
        <references count="3">
          <reference field="2" count="0" selected="0"/>
          <reference field="3" count="1" selected="0">
            <x v="4"/>
          </reference>
          <reference field="4" count="1">
            <x v="14"/>
          </reference>
        </references>
      </pivotArea>
    </format>
    <format dxfId="3286">
      <pivotArea dataOnly="0" labelOnly="1" outline="0" fieldPosition="0">
        <references count="3">
          <reference field="2" count="0" selected="0"/>
          <reference field="3" count="1" selected="0">
            <x v="5"/>
          </reference>
          <reference field="4" count="10">
            <x v="23"/>
            <x v="34"/>
            <x v="42"/>
            <x v="50"/>
            <x v="58"/>
            <x v="65"/>
            <x v="72"/>
            <x v="79"/>
            <x v="86"/>
            <x v="94"/>
          </reference>
        </references>
      </pivotArea>
    </format>
    <format dxfId="3285">
      <pivotArea dataOnly="0" labelOnly="1" outline="0" fieldPosition="0">
        <references count="3">
          <reference field="2" count="0" selected="0"/>
          <reference field="3" count="1" selected="0">
            <x v="6"/>
          </reference>
          <reference field="4" count="1">
            <x v="4"/>
          </reference>
        </references>
      </pivotArea>
    </format>
    <format dxfId="3284">
      <pivotArea dataOnly="0" labelOnly="1" outline="0" fieldPosition="0">
        <references count="3">
          <reference field="2" count="0" selected="0"/>
          <reference field="3" count="1" selected="0">
            <x v="7"/>
          </reference>
          <reference field="4" count="4">
            <x v="0"/>
            <x v="31"/>
            <x v="63"/>
            <x v="92"/>
          </reference>
        </references>
      </pivotArea>
    </format>
    <format dxfId="3283">
      <pivotArea dataOnly="0" labelOnly="1" outline="0" fieldPosition="0">
        <references count="3">
          <reference field="2" count="0" selected="0"/>
          <reference field="3" count="1" selected="0">
            <x v="9"/>
          </reference>
          <reference field="4" count="1">
            <x v="0"/>
          </reference>
        </references>
      </pivotArea>
    </format>
    <format dxfId="3282">
      <pivotArea dataOnly="0" labelOnly="1" outline="0" fieldPosition="0">
        <references count="3">
          <reference field="2" count="0" selected="0"/>
          <reference field="3" count="1" selected="0">
            <x v="34"/>
          </reference>
          <reference field="4" count="39">
            <x v="25"/>
            <x v="26"/>
            <x v="29"/>
            <x v="31"/>
            <x v="33"/>
            <x v="35"/>
            <x v="38"/>
            <x v="39"/>
            <x v="41"/>
            <x v="43"/>
            <x v="46"/>
            <x v="47"/>
            <x v="49"/>
            <x v="51"/>
            <x v="53"/>
            <x v="55"/>
            <x v="56"/>
            <x v="57"/>
            <x v="59"/>
            <x v="61"/>
            <x v="62"/>
            <x v="64"/>
            <x v="66"/>
            <x v="68"/>
            <x v="70"/>
            <x v="71"/>
            <x v="73"/>
            <x v="75"/>
            <x v="77"/>
            <x v="78"/>
            <x v="79"/>
            <x v="81"/>
            <x v="83"/>
            <x v="84"/>
            <x v="85"/>
            <x v="87"/>
            <x v="89"/>
            <x v="91"/>
            <x v="93"/>
          </reference>
        </references>
      </pivotArea>
    </format>
    <format dxfId="3281">
      <pivotArea dataOnly="0" labelOnly="1" outline="0" fieldPosition="0">
        <references count="3">
          <reference field="2" count="0" selected="0"/>
          <reference field="3" count="1" selected="0">
            <x v="35"/>
          </reference>
          <reference field="4" count="1">
            <x v="20"/>
          </reference>
        </references>
      </pivotArea>
    </format>
    <format dxfId="3280">
      <pivotArea dataOnly="0" labelOnly="1" outline="0" fieldPosition="0">
        <references count="3">
          <reference field="2" count="0" selected="0"/>
          <reference field="3" count="1" selected="0">
            <x v="37"/>
          </reference>
          <reference field="4" count="1">
            <x v="7"/>
          </reference>
        </references>
      </pivotArea>
    </format>
    <format dxfId="3279">
      <pivotArea dataOnly="0" labelOnly="1" outline="0" fieldPosition="0">
        <references count="3">
          <reference field="2" count="0" selected="0"/>
          <reference field="3" count="1" selected="0">
            <x v="38"/>
          </reference>
          <reference field="4" count="1">
            <x v="17"/>
          </reference>
        </references>
      </pivotArea>
    </format>
    <format dxfId="3278">
      <pivotArea dataOnly="0" labelOnly="1" outline="0" fieldPosition="0">
        <references count="3">
          <reference field="2" count="0" selected="0"/>
          <reference field="3" count="1" selected="0">
            <x v="39"/>
          </reference>
          <reference field="4" count="1">
            <x v="13"/>
          </reference>
        </references>
      </pivotArea>
    </format>
    <format dxfId="3277">
      <pivotArea dataOnly="0" labelOnly="1" outline="0" fieldPosition="0">
        <references count="1">
          <reference field="2" count="4">
            <x v="0"/>
            <x v="1"/>
            <x v="2"/>
            <x v="3"/>
          </reference>
        </references>
      </pivotArea>
    </format>
    <format dxfId="3276">
      <pivotArea dataOnly="0" labelOnly="1" outline="0" fieldPosition="0">
        <references count="2">
          <reference field="2" count="1" selected="0">
            <x v="0"/>
          </reference>
          <reference field="3" count="2">
            <x v="36"/>
            <x v="43"/>
          </reference>
        </references>
      </pivotArea>
    </format>
    <format dxfId="3275">
      <pivotArea dataOnly="0" labelOnly="1" outline="0" fieldPosition="0">
        <references count="2">
          <reference field="2" count="1" selected="0">
            <x v="1"/>
          </reference>
          <reference field="3" count="9">
            <x v="3"/>
            <x v="6"/>
            <x v="7"/>
            <x v="9"/>
            <x v="10"/>
            <x v="14"/>
            <x v="15"/>
            <x v="19"/>
            <x v="37"/>
          </reference>
        </references>
      </pivotArea>
    </format>
    <format dxfId="3274">
      <pivotArea dataOnly="0" labelOnly="1" outline="0" fieldPosition="0">
        <references count="2">
          <reference field="2" count="1" selected="0">
            <x v="2"/>
          </reference>
          <reference field="3" count="1">
            <x v="34"/>
          </reference>
        </references>
      </pivotArea>
    </format>
    <format dxfId="3273">
      <pivotArea dataOnly="0" labelOnly="1" outline="0" fieldPosition="0">
        <references count="2">
          <reference field="2" count="1" selected="0">
            <x v="3"/>
          </reference>
          <reference field="3" count="19">
            <x v="1"/>
            <x v="2"/>
            <x v="11"/>
            <x v="14"/>
            <x v="17"/>
            <x v="18"/>
            <x v="23"/>
            <x v="26"/>
            <x v="29"/>
            <x v="30"/>
            <x v="32"/>
            <x v="33"/>
            <x v="41"/>
            <x v="42"/>
            <x v="44"/>
            <x v="45"/>
            <x v="46"/>
            <x v="47"/>
            <x v="48"/>
          </reference>
        </references>
      </pivotArea>
    </format>
    <format dxfId="3272">
      <pivotArea type="all" dataOnly="0" outline="0" fieldPosition="0"/>
    </format>
    <format dxfId="3271">
      <pivotArea dataOnly="0" labelOnly="1" outline="0" fieldPosition="0">
        <references count="2">
          <reference field="2" count="1" selected="0">
            <x v="0"/>
          </reference>
          <reference field="3" count="2">
            <x v="36"/>
            <x v="43"/>
          </reference>
        </references>
      </pivotArea>
    </format>
    <format dxfId="3270">
      <pivotArea dataOnly="0" labelOnly="1" outline="0" fieldPosition="0">
        <references count="2">
          <reference field="2" count="1" selected="0">
            <x v="1"/>
          </reference>
          <reference field="3" count="7">
            <x v="3"/>
            <x v="6"/>
            <x v="9"/>
            <x v="14"/>
            <x v="15"/>
            <x v="19"/>
            <x v="37"/>
          </reference>
        </references>
      </pivotArea>
    </format>
    <format dxfId="3269">
      <pivotArea dataOnly="0" labelOnly="1" outline="0" fieldPosition="0">
        <references count="2">
          <reference field="2" count="1" selected="0">
            <x v="2"/>
          </reference>
          <reference field="3" count="1">
            <x v="34"/>
          </reference>
        </references>
      </pivotArea>
    </format>
    <format dxfId="3268">
      <pivotArea dataOnly="0" labelOnly="1" outline="0" fieldPosition="0">
        <references count="2">
          <reference field="2" count="1" selected="0">
            <x v="3"/>
          </reference>
          <reference field="3" count="13">
            <x v="1"/>
            <x v="2"/>
            <x v="11"/>
            <x v="23"/>
            <x v="26"/>
            <x v="29"/>
            <x v="30"/>
            <x v="32"/>
            <x v="33"/>
            <x v="42"/>
            <x v="45"/>
            <x v="46"/>
            <x v="54"/>
          </reference>
        </references>
      </pivotArea>
    </format>
    <format dxfId="3267">
      <pivotArea dataOnly="0" labelOnly="1" outline="0" fieldPosition="0">
        <references count="1">
          <reference field="2" count="4">
            <x v="0"/>
            <x v="1"/>
            <x v="2"/>
            <x v="3"/>
          </reference>
        </references>
      </pivotArea>
    </format>
    <format dxfId="3266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36"/>
          </reference>
          <reference field="4" count="1" selected="0">
            <x v="7"/>
          </reference>
          <reference field="6" count="1">
            <x v="0"/>
          </reference>
        </references>
      </pivotArea>
    </format>
    <format dxfId="3265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43"/>
          </reference>
          <reference field="4" count="1" selected="0">
            <x v="2"/>
          </reference>
          <reference field="6" count="1">
            <x v="1"/>
          </reference>
        </references>
      </pivotArea>
    </format>
    <format dxfId="3264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"/>
          </reference>
          <reference field="4" count="1" selected="0">
            <x v="8"/>
          </reference>
          <reference field="6" count="1">
            <x v="0"/>
          </reference>
        </references>
      </pivotArea>
    </format>
    <format dxfId="3263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6"/>
          </reference>
          <reference field="4" count="1" selected="0">
            <x v="4"/>
          </reference>
          <reference field="6" count="1">
            <x v="0"/>
          </reference>
        </references>
      </pivotArea>
    </format>
    <format dxfId="3262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9"/>
          </reference>
          <reference field="4" count="1" selected="0">
            <x v="0"/>
          </reference>
          <reference field="6" count="1">
            <x v="1"/>
          </reference>
        </references>
      </pivotArea>
    </format>
    <format dxfId="3261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14"/>
          </reference>
          <reference field="4" count="1" selected="0">
            <x v="0"/>
          </reference>
          <reference field="6" count="1">
            <x v="1"/>
          </reference>
        </references>
      </pivotArea>
    </format>
    <format dxfId="3260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15"/>
          </reference>
          <reference field="4" count="1" selected="0">
            <x v="0"/>
          </reference>
          <reference field="6" count="1">
            <x v="1"/>
          </reference>
        </references>
      </pivotArea>
    </format>
    <format dxfId="3259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19"/>
          </reference>
          <reference field="4" count="1" selected="0">
            <x v="0"/>
          </reference>
          <reference field="6" count="1">
            <x v="1"/>
          </reference>
        </references>
      </pivotArea>
    </format>
    <format dxfId="3258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7"/>
          </reference>
          <reference field="4" count="1" selected="0">
            <x v="7"/>
          </reference>
          <reference field="6" count="1">
            <x v="0"/>
          </reference>
        </references>
      </pivotArea>
    </format>
    <format dxfId="3257">
      <pivotArea dataOnly="0" labelOnly="1" outline="0" fieldPosition="0">
        <references count="4">
          <reference field="2" count="1" selected="0">
            <x v="2"/>
          </reference>
          <reference field="3" count="1" selected="0">
            <x v="34"/>
          </reference>
          <reference field="4" count="1" selected="0">
            <x v="3"/>
          </reference>
          <reference field="6" count="1">
            <x v="0"/>
          </reference>
        </references>
      </pivotArea>
    </format>
    <format dxfId="3256">
      <pivotArea dataOnly="0" labelOnly="1" outline="0" fieldPosition="0">
        <references count="4">
          <reference field="2" count="1" selected="0">
            <x v="2"/>
          </reference>
          <reference field="3" count="1" selected="0">
            <x v="34"/>
          </reference>
          <reference field="4" count="1" selected="0">
            <x v="5"/>
          </reference>
          <reference field="6" count="1">
            <x v="0"/>
          </reference>
        </references>
      </pivotArea>
    </format>
    <format dxfId="3255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1"/>
          </reference>
          <reference field="4" count="1" selected="0">
            <x v="7"/>
          </reference>
          <reference field="6" count="1">
            <x v="0"/>
          </reference>
        </references>
      </pivotArea>
    </format>
    <format dxfId="3254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2"/>
          </reference>
          <reference field="4" count="1" selected="0">
            <x v="6"/>
          </reference>
          <reference field="6" count="1">
            <x v="0"/>
          </reference>
        </references>
      </pivotArea>
    </format>
    <format dxfId="3253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11"/>
          </reference>
          <reference field="4" count="1" selected="0">
            <x v="8"/>
          </reference>
          <reference field="6" count="1">
            <x v="0"/>
          </reference>
        </references>
      </pivotArea>
    </format>
    <format dxfId="3252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23"/>
          </reference>
          <reference field="4" count="1" selected="0">
            <x v="8"/>
          </reference>
          <reference field="6" count="1">
            <x v="0"/>
          </reference>
        </references>
      </pivotArea>
    </format>
    <format dxfId="3251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26"/>
          </reference>
          <reference field="4" count="1" selected="0">
            <x v="6"/>
          </reference>
          <reference field="6" count="1">
            <x v="0"/>
          </reference>
        </references>
      </pivotArea>
    </format>
    <format dxfId="3250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29"/>
          </reference>
          <reference field="4" count="1" selected="0">
            <x v="7"/>
          </reference>
          <reference field="6" count="1">
            <x v="0"/>
          </reference>
        </references>
      </pivotArea>
    </format>
    <format dxfId="3249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30"/>
          </reference>
          <reference field="4" count="1" selected="0">
            <x v="8"/>
          </reference>
          <reference field="6" count="1">
            <x v="0"/>
          </reference>
        </references>
      </pivotArea>
    </format>
    <format dxfId="3248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32"/>
          </reference>
          <reference field="4" count="1" selected="0">
            <x v="7"/>
          </reference>
          <reference field="6" count="1">
            <x v="0"/>
          </reference>
        </references>
      </pivotArea>
    </format>
    <format dxfId="3247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33"/>
          </reference>
          <reference field="4" count="1" selected="0">
            <x v="2"/>
          </reference>
          <reference field="6" count="1">
            <x v="0"/>
          </reference>
        </references>
      </pivotArea>
    </format>
    <format dxfId="3246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42"/>
          </reference>
          <reference field="4" count="1" selected="0">
            <x v="0"/>
          </reference>
          <reference field="6" count="1">
            <x v="1"/>
          </reference>
        </references>
      </pivotArea>
    </format>
    <format dxfId="3245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45"/>
          </reference>
          <reference field="4" count="1" selected="0">
            <x v="1"/>
          </reference>
          <reference field="6" count="1">
            <x v="0"/>
          </reference>
        </references>
      </pivotArea>
    </format>
    <format dxfId="3244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46"/>
          </reference>
          <reference field="4" count="1" selected="0">
            <x v="2"/>
          </reference>
          <reference field="6" count="1">
            <x v="0"/>
          </reference>
        </references>
      </pivotArea>
    </format>
    <format dxfId="3243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54"/>
          </reference>
          <reference field="4" count="1" selected="0">
            <x v="6"/>
          </reference>
          <reference field="6" count="1">
            <x v="0"/>
          </reference>
        </references>
      </pivotArea>
    </format>
    <format dxfId="3242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36"/>
          </reference>
          <reference field="4" count="1">
            <x v="7"/>
          </reference>
        </references>
      </pivotArea>
    </format>
    <format dxfId="3241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43"/>
          </reference>
          <reference field="4" count="1">
            <x v="2"/>
          </reference>
        </references>
      </pivotArea>
    </format>
    <format dxfId="3240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3"/>
          </reference>
          <reference field="4" count="1">
            <x v="8"/>
          </reference>
        </references>
      </pivotArea>
    </format>
    <format dxfId="3239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6"/>
          </reference>
          <reference field="4" count="1">
            <x v="4"/>
          </reference>
        </references>
      </pivotArea>
    </format>
    <format dxfId="3238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9"/>
          </reference>
          <reference field="4" count="1">
            <x v="0"/>
          </reference>
        </references>
      </pivotArea>
    </format>
    <format dxfId="3237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37"/>
          </reference>
          <reference field="4" count="1">
            <x v="7"/>
          </reference>
        </references>
      </pivotArea>
    </format>
    <format dxfId="3236">
      <pivotArea dataOnly="0" labelOnly="1" outline="0" fieldPosition="0">
        <references count="3">
          <reference field="2" count="1" selected="0">
            <x v="2"/>
          </reference>
          <reference field="3" count="1" selected="0">
            <x v="34"/>
          </reference>
          <reference field="4" count="2">
            <x v="3"/>
            <x v="5"/>
          </reference>
        </references>
      </pivotArea>
    </format>
    <format dxfId="3235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1"/>
          </reference>
          <reference field="4" count="1">
            <x v="7"/>
          </reference>
        </references>
      </pivotArea>
    </format>
    <format dxfId="3234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2"/>
          </reference>
          <reference field="4" count="1">
            <x v="6"/>
          </reference>
        </references>
      </pivotArea>
    </format>
    <format dxfId="3233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11"/>
          </reference>
          <reference field="4" count="1">
            <x v="8"/>
          </reference>
        </references>
      </pivotArea>
    </format>
    <format dxfId="3232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26"/>
          </reference>
          <reference field="4" count="1">
            <x v="6"/>
          </reference>
        </references>
      </pivotArea>
    </format>
    <format dxfId="3231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29"/>
          </reference>
          <reference field="4" count="1">
            <x v="7"/>
          </reference>
        </references>
      </pivotArea>
    </format>
    <format dxfId="3230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30"/>
          </reference>
          <reference field="4" count="1">
            <x v="8"/>
          </reference>
        </references>
      </pivotArea>
    </format>
    <format dxfId="3229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32"/>
          </reference>
          <reference field="4" count="1">
            <x v="7"/>
          </reference>
        </references>
      </pivotArea>
    </format>
    <format dxfId="3228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33"/>
          </reference>
          <reference field="4" count="1">
            <x v="2"/>
          </reference>
        </references>
      </pivotArea>
    </format>
    <format dxfId="3227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42"/>
          </reference>
          <reference field="4" count="1">
            <x v="0"/>
          </reference>
        </references>
      </pivotArea>
    </format>
    <format dxfId="3226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45"/>
          </reference>
          <reference field="4" count="1">
            <x v="1"/>
          </reference>
        </references>
      </pivotArea>
    </format>
    <format dxfId="3225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46"/>
          </reference>
          <reference field="4" count="1">
            <x v="2"/>
          </reference>
        </references>
      </pivotArea>
    </format>
    <format dxfId="3224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54"/>
          </reference>
          <reference field="4" count="1">
            <x v="6"/>
          </reference>
        </references>
      </pivotArea>
    </format>
    <format dxfId="3223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34"/>
          </reference>
          <reference field="4" count="12">
            <x v="22"/>
            <x v="27"/>
            <x v="32"/>
            <x v="36"/>
            <x v="45"/>
            <x v="52"/>
            <x v="59"/>
            <x v="67"/>
            <x v="74"/>
            <x v="80"/>
            <x v="88"/>
            <x v="92"/>
          </reference>
        </references>
      </pivotArea>
    </format>
    <format dxfId="3222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43"/>
          </reference>
          <reference field="4" count="12">
            <x v="2"/>
            <x v="9"/>
            <x v="17"/>
            <x v="28"/>
            <x v="37"/>
            <x v="46"/>
            <x v="54"/>
            <x v="60"/>
            <x v="69"/>
            <x v="76"/>
            <x v="82"/>
            <x v="90"/>
          </reference>
        </references>
      </pivotArea>
    </format>
    <format dxfId="3221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5"/>
          </reference>
          <reference field="4" count="10">
            <x v="23"/>
            <x v="34"/>
            <x v="42"/>
            <x v="50"/>
            <x v="58"/>
            <x v="65"/>
            <x v="72"/>
            <x v="79"/>
            <x v="86"/>
            <x v="94"/>
          </reference>
        </references>
      </pivotArea>
    </format>
    <format dxfId="3220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7"/>
          </reference>
          <reference field="4" count="3">
            <x v="31"/>
            <x v="63"/>
            <x v="92"/>
          </reference>
        </references>
      </pivotArea>
    </format>
    <format dxfId="3219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34"/>
          </reference>
          <reference field="4" count="39">
            <x v="25"/>
            <x v="26"/>
            <x v="29"/>
            <x v="31"/>
            <x v="33"/>
            <x v="35"/>
            <x v="38"/>
            <x v="39"/>
            <x v="41"/>
            <x v="43"/>
            <x v="46"/>
            <x v="47"/>
            <x v="49"/>
            <x v="51"/>
            <x v="53"/>
            <x v="55"/>
            <x v="56"/>
            <x v="57"/>
            <x v="59"/>
            <x v="61"/>
            <x v="62"/>
            <x v="64"/>
            <x v="66"/>
            <x v="68"/>
            <x v="70"/>
            <x v="71"/>
            <x v="73"/>
            <x v="75"/>
            <x v="77"/>
            <x v="78"/>
            <x v="79"/>
            <x v="81"/>
            <x v="83"/>
            <x v="84"/>
            <x v="85"/>
            <x v="87"/>
            <x v="89"/>
            <x v="91"/>
            <x v="93"/>
          </reference>
        </references>
      </pivotArea>
    </format>
    <format dxfId="3218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34"/>
          </reference>
          <reference field="4" count="5">
            <x v="24"/>
            <x v="38"/>
            <x v="69"/>
            <x v="105"/>
            <x v="106"/>
          </reference>
        </references>
      </pivotArea>
    </format>
    <format dxfId="3217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42"/>
          </reference>
          <reference field="4" count="13">
            <x v="0"/>
            <x v="38"/>
            <x v="69"/>
            <x v="76"/>
            <x v="89"/>
            <x v="103"/>
            <x v="105"/>
            <x v="106"/>
            <x v="107"/>
            <x v="108"/>
            <x v="109"/>
            <x v="110"/>
            <x v="111"/>
          </reference>
        </references>
      </pivotArea>
    </format>
    <format dxfId="3216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44"/>
          </reference>
          <reference field="4" count="3">
            <x v="29"/>
            <x v="103"/>
            <x v="104"/>
          </reference>
        </references>
      </pivotArea>
    </format>
    <format dxfId="3215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50"/>
          </reference>
          <reference field="4" count="1">
            <x v="29"/>
          </reference>
        </references>
      </pivotArea>
    </format>
    <format dxfId="3214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51"/>
          </reference>
          <reference field="4" count="1">
            <x v="96"/>
          </reference>
        </references>
      </pivotArea>
    </format>
    <format dxfId="3213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52"/>
          </reference>
          <reference field="4" count="1">
            <x v="97"/>
          </reference>
        </references>
      </pivotArea>
    </format>
    <format dxfId="3212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53"/>
          </reference>
          <reference field="4" count="6">
            <x v="83"/>
            <x v="98"/>
            <x v="99"/>
            <x v="100"/>
            <x v="101"/>
            <x v="102"/>
          </reference>
        </references>
      </pivotArea>
    </format>
    <format dxfId="3211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34"/>
          </reference>
          <reference field="4" count="24">
            <x v="11"/>
            <x v="16"/>
            <x v="19"/>
            <x v="21"/>
            <x v="60"/>
            <x v="95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</reference>
        </references>
      </pivotArea>
    </format>
    <format dxfId="3210">
      <pivotArea dataOnly="0" labelOnly="1" outline="0" fieldPosition="0">
        <references count="3">
          <reference field="2" count="1" selected="0">
            <x v="5"/>
          </reference>
          <reference field="3" count="1" selected="0">
            <x v="0"/>
          </reference>
          <reference field="4" count="1">
            <x v="48"/>
          </reference>
        </references>
      </pivotArea>
    </format>
    <format dxfId="3209">
      <pivotArea dataOnly="0" labelOnly="1" outline="0" fieldPosition="0">
        <references count="3">
          <reference field="2" count="1" selected="0">
            <x v="5"/>
          </reference>
          <reference field="3" count="1" selected="0">
            <x v="13"/>
          </reference>
          <reference field="4" count="1">
            <x v="30"/>
          </reference>
        </references>
      </pivotArea>
    </format>
    <format dxfId="3208">
      <pivotArea dataOnly="0" labelOnly="1" outline="0" fieldPosition="0">
        <references count="3">
          <reference field="2" count="1" selected="0">
            <x v="5"/>
          </reference>
          <reference field="3" count="1" selected="0">
            <x v="20"/>
          </reference>
          <reference field="4" count="1">
            <x v="40"/>
          </reference>
        </references>
      </pivotArea>
    </format>
    <format dxfId="3207">
      <pivotArea dataOnly="0" labelOnly="1" outline="0" fieldPosition="0">
        <references count="3">
          <reference field="2" count="1" selected="0">
            <x v="5"/>
          </reference>
          <reference field="3" count="1" selected="0">
            <x v="40"/>
          </reference>
          <reference field="4" count="1">
            <x v="44"/>
          </reference>
        </references>
      </pivotArea>
    </format>
    <format dxfId="3206">
      <pivotArea dataOnly="0" labelOnly="1" outline="0" fieldPosition="0">
        <references count="3">
          <reference field="2" count="1" selected="0">
            <x v="5"/>
          </reference>
          <reference field="3" count="1" selected="0">
            <x v="44"/>
          </reference>
          <reference field="4" count="1">
            <x v="35"/>
          </reference>
        </references>
      </pivotArea>
    </format>
    <format dxfId="3205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25"/>
          </reference>
          <reference field="4" count="1" selected="0">
            <x v="18"/>
          </reference>
          <reference field="6" count="1">
            <x v="0"/>
          </reference>
        </references>
      </pivotArea>
    </format>
    <format dxfId="3204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31"/>
          </reference>
          <reference field="4" count="1" selected="0">
            <x v="10"/>
          </reference>
          <reference field="6" count="1">
            <x v="0"/>
          </reference>
        </references>
      </pivotArea>
    </format>
    <format dxfId="3203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34"/>
          </reference>
          <reference field="4" count="1" selected="0">
            <x v="22"/>
          </reference>
          <reference field="6" count="1">
            <x v="0"/>
          </reference>
        </references>
      </pivotArea>
    </format>
    <format dxfId="3202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34"/>
          </reference>
          <reference field="4" count="1" selected="0">
            <x v="27"/>
          </reference>
          <reference field="6" count="1">
            <x v="1"/>
          </reference>
        </references>
      </pivotArea>
    </format>
    <format dxfId="3201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34"/>
          </reference>
          <reference field="4" count="1" selected="0">
            <x v="32"/>
          </reference>
          <reference field="6" count="1">
            <x v="1"/>
          </reference>
        </references>
      </pivotArea>
    </format>
    <format dxfId="3200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34"/>
          </reference>
          <reference field="4" count="1" selected="0">
            <x v="36"/>
          </reference>
          <reference field="6" count="1">
            <x v="1"/>
          </reference>
        </references>
      </pivotArea>
    </format>
    <format dxfId="3199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34"/>
          </reference>
          <reference field="4" count="1" selected="0">
            <x v="45"/>
          </reference>
          <reference field="6" count="1">
            <x v="1"/>
          </reference>
        </references>
      </pivotArea>
    </format>
    <format dxfId="3198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34"/>
          </reference>
          <reference field="4" count="1" selected="0">
            <x v="52"/>
          </reference>
          <reference field="6" count="1">
            <x v="1"/>
          </reference>
        </references>
      </pivotArea>
    </format>
    <format dxfId="3197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34"/>
          </reference>
          <reference field="4" count="1" selected="0">
            <x v="59"/>
          </reference>
          <reference field="6" count="1">
            <x v="1"/>
          </reference>
        </references>
      </pivotArea>
    </format>
    <format dxfId="3196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34"/>
          </reference>
          <reference field="4" count="1" selected="0">
            <x v="67"/>
          </reference>
          <reference field="6" count="1">
            <x v="1"/>
          </reference>
        </references>
      </pivotArea>
    </format>
    <format dxfId="3195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34"/>
          </reference>
          <reference field="4" count="1" selected="0">
            <x v="74"/>
          </reference>
          <reference field="6" count="1">
            <x v="1"/>
          </reference>
        </references>
      </pivotArea>
    </format>
    <format dxfId="3194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34"/>
          </reference>
          <reference field="4" count="1" selected="0">
            <x v="80"/>
          </reference>
          <reference field="6" count="1">
            <x v="1"/>
          </reference>
        </references>
      </pivotArea>
    </format>
    <format dxfId="3193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34"/>
          </reference>
          <reference field="4" count="1" selected="0">
            <x v="88"/>
          </reference>
          <reference field="6" count="1">
            <x v="1"/>
          </reference>
        </references>
      </pivotArea>
    </format>
    <format dxfId="3192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34"/>
          </reference>
          <reference field="4" count="1" selected="0">
            <x v="92"/>
          </reference>
          <reference field="6" count="1">
            <x v="1"/>
          </reference>
        </references>
      </pivotArea>
    </format>
    <format dxfId="3191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36"/>
          </reference>
          <reference field="4" count="1" selected="0">
            <x v="7"/>
          </reference>
          <reference field="6" count="1">
            <x v="0"/>
          </reference>
        </references>
      </pivotArea>
    </format>
    <format dxfId="3190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36"/>
          </reference>
          <reference field="4" count="1" selected="0">
            <x v="13"/>
          </reference>
          <reference field="6" count="1">
            <x v="0"/>
          </reference>
        </references>
      </pivotArea>
    </format>
    <format dxfId="3189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43"/>
          </reference>
          <reference field="4" count="1" selected="0">
            <x v="2"/>
          </reference>
          <reference field="6" count="1">
            <x v="1"/>
          </reference>
        </references>
      </pivotArea>
    </format>
    <format dxfId="3188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43"/>
          </reference>
          <reference field="4" count="1" selected="0">
            <x v="9"/>
          </reference>
          <reference field="6" count="1">
            <x v="1"/>
          </reference>
        </references>
      </pivotArea>
    </format>
    <format dxfId="3187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43"/>
          </reference>
          <reference field="4" count="1" selected="0">
            <x v="17"/>
          </reference>
          <reference field="6" count="1">
            <x v="1"/>
          </reference>
        </references>
      </pivotArea>
    </format>
    <format dxfId="3186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43"/>
          </reference>
          <reference field="4" count="1" selected="0">
            <x v="28"/>
          </reference>
          <reference field="6" count="1">
            <x v="1"/>
          </reference>
        </references>
      </pivotArea>
    </format>
    <format dxfId="3185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43"/>
          </reference>
          <reference field="4" count="1" selected="0">
            <x v="37"/>
          </reference>
          <reference field="6" count="1">
            <x v="1"/>
          </reference>
        </references>
      </pivotArea>
    </format>
    <format dxfId="3184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43"/>
          </reference>
          <reference field="4" count="1" selected="0">
            <x v="46"/>
          </reference>
          <reference field="6" count="1">
            <x v="1"/>
          </reference>
        </references>
      </pivotArea>
    </format>
    <format dxfId="3183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43"/>
          </reference>
          <reference field="4" count="1" selected="0">
            <x v="54"/>
          </reference>
          <reference field="6" count="1">
            <x v="1"/>
          </reference>
        </references>
      </pivotArea>
    </format>
    <format dxfId="3182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43"/>
          </reference>
          <reference field="4" count="1" selected="0">
            <x v="60"/>
          </reference>
          <reference field="6" count="1">
            <x v="1"/>
          </reference>
        </references>
      </pivotArea>
    </format>
    <format dxfId="3181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43"/>
          </reference>
          <reference field="4" count="1" selected="0">
            <x v="69"/>
          </reference>
          <reference field="6" count="1">
            <x v="1"/>
          </reference>
        </references>
      </pivotArea>
    </format>
    <format dxfId="3180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43"/>
          </reference>
          <reference field="4" count="1" selected="0">
            <x v="76"/>
          </reference>
          <reference field="6" count="1">
            <x v="1"/>
          </reference>
        </references>
      </pivotArea>
    </format>
    <format dxfId="3179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43"/>
          </reference>
          <reference field="4" count="1" selected="0">
            <x v="82"/>
          </reference>
          <reference field="6" count="1">
            <x v="1"/>
          </reference>
        </references>
      </pivotArea>
    </format>
    <format dxfId="3178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43"/>
          </reference>
          <reference field="4" count="1" selected="0">
            <x v="90"/>
          </reference>
          <reference field="6" count="1">
            <x v="1"/>
          </reference>
        </references>
      </pivotArea>
    </format>
    <format dxfId="3177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"/>
          </reference>
          <reference field="4" count="1" selected="0">
            <x v="8"/>
          </reference>
          <reference field="6" count="1">
            <x v="0"/>
          </reference>
        </references>
      </pivotArea>
    </format>
    <format dxfId="3176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4"/>
          </reference>
          <reference field="4" count="1" selected="0">
            <x v="14"/>
          </reference>
          <reference field="6" count="1">
            <x v="0"/>
          </reference>
        </references>
      </pivotArea>
    </format>
    <format dxfId="3175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5"/>
          </reference>
          <reference field="4" count="1" selected="0">
            <x v="14"/>
          </reference>
          <reference field="6" count="1">
            <x v="0"/>
          </reference>
        </references>
      </pivotArea>
    </format>
    <format dxfId="3174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5"/>
          </reference>
          <reference field="4" count="1" selected="0">
            <x v="23"/>
          </reference>
          <reference field="6" count="1">
            <x v="0"/>
          </reference>
        </references>
      </pivotArea>
    </format>
    <format dxfId="3173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5"/>
          </reference>
          <reference field="4" count="1" selected="0">
            <x v="34"/>
          </reference>
          <reference field="6" count="1">
            <x v="1"/>
          </reference>
        </references>
      </pivotArea>
    </format>
    <format dxfId="3172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5"/>
          </reference>
          <reference field="4" count="1" selected="0">
            <x v="42"/>
          </reference>
          <reference field="6" count="1">
            <x v="1"/>
          </reference>
        </references>
      </pivotArea>
    </format>
    <format dxfId="3171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5"/>
          </reference>
          <reference field="4" count="1" selected="0">
            <x v="50"/>
          </reference>
          <reference field="6" count="1">
            <x v="1"/>
          </reference>
        </references>
      </pivotArea>
    </format>
    <format dxfId="3170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5"/>
          </reference>
          <reference field="4" count="1" selected="0">
            <x v="58"/>
          </reference>
          <reference field="6" count="1">
            <x v="1"/>
          </reference>
        </references>
      </pivotArea>
    </format>
    <format dxfId="3169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5"/>
          </reference>
          <reference field="4" count="1" selected="0">
            <x v="65"/>
          </reference>
          <reference field="6" count="1">
            <x v="1"/>
          </reference>
        </references>
      </pivotArea>
    </format>
    <format dxfId="3168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5"/>
          </reference>
          <reference field="4" count="1" selected="0">
            <x v="72"/>
          </reference>
          <reference field="6" count="1">
            <x v="1"/>
          </reference>
        </references>
      </pivotArea>
    </format>
    <format dxfId="3167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5"/>
          </reference>
          <reference field="4" count="1" selected="0">
            <x v="79"/>
          </reference>
          <reference field="6" count="1">
            <x v="1"/>
          </reference>
        </references>
      </pivotArea>
    </format>
    <format dxfId="3166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5"/>
          </reference>
          <reference field="4" count="1" selected="0">
            <x v="86"/>
          </reference>
          <reference field="6" count="1">
            <x v="1"/>
          </reference>
        </references>
      </pivotArea>
    </format>
    <format dxfId="3165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5"/>
          </reference>
          <reference field="4" count="1" selected="0">
            <x v="94"/>
          </reference>
          <reference field="6" count="1">
            <x v="1"/>
          </reference>
        </references>
      </pivotArea>
    </format>
    <format dxfId="3164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6"/>
          </reference>
          <reference field="4" count="1" selected="0">
            <x v="4"/>
          </reference>
          <reference field="6" count="1">
            <x v="0"/>
          </reference>
        </references>
      </pivotArea>
    </format>
    <format dxfId="3163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7"/>
          </reference>
          <reference field="4" count="1" selected="0">
            <x v="31"/>
          </reference>
          <reference field="6" count="1">
            <x v="1"/>
          </reference>
        </references>
      </pivotArea>
    </format>
    <format dxfId="3162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7"/>
          </reference>
          <reference field="4" count="1" selected="0">
            <x v="63"/>
          </reference>
          <reference field="6" count="1">
            <x v="1"/>
          </reference>
        </references>
      </pivotArea>
    </format>
    <format dxfId="3161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7"/>
          </reference>
          <reference field="4" count="1" selected="0">
            <x v="92"/>
          </reference>
          <reference field="6" count="1">
            <x v="1"/>
          </reference>
        </references>
      </pivotArea>
    </format>
    <format dxfId="3160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9"/>
          </reference>
          <reference field="4" count="1" selected="0">
            <x v="0"/>
          </reference>
          <reference field="6" count="1">
            <x v="1"/>
          </reference>
        </references>
      </pivotArea>
    </format>
    <format dxfId="3159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10"/>
          </reference>
          <reference field="4" count="1" selected="0">
            <x v="14"/>
          </reference>
          <reference field="6" count="1">
            <x v="0"/>
          </reference>
        </references>
      </pivotArea>
    </format>
    <format dxfId="3158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14"/>
          </reference>
          <reference field="4" count="1" selected="0">
            <x v="0"/>
          </reference>
          <reference field="6" count="1">
            <x v="1"/>
          </reference>
        </references>
      </pivotArea>
    </format>
    <format dxfId="3157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15"/>
          </reference>
          <reference field="4" count="1" selected="0">
            <x v="0"/>
          </reference>
          <reference field="6" count="1">
            <x v="1"/>
          </reference>
        </references>
      </pivotArea>
    </format>
    <format dxfId="3156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19"/>
          </reference>
          <reference field="4" count="1" selected="0">
            <x v="0"/>
          </reference>
          <reference field="6" count="1">
            <x v="1"/>
          </reference>
        </references>
      </pivotArea>
    </format>
    <format dxfId="3155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25"/>
          </reference>
          <reference field="6" count="1">
            <x v="1"/>
          </reference>
        </references>
      </pivotArea>
    </format>
    <format dxfId="3154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26"/>
          </reference>
          <reference field="6" count="1">
            <x v="1"/>
          </reference>
        </references>
      </pivotArea>
    </format>
    <format dxfId="3153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29"/>
          </reference>
          <reference field="6" count="1">
            <x v="1"/>
          </reference>
        </references>
      </pivotArea>
    </format>
    <format dxfId="3152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31"/>
          </reference>
          <reference field="6" count="1">
            <x v="1"/>
          </reference>
        </references>
      </pivotArea>
    </format>
    <format dxfId="3151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33"/>
          </reference>
          <reference field="6" count="1">
            <x v="1"/>
          </reference>
        </references>
      </pivotArea>
    </format>
    <format dxfId="3150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35"/>
          </reference>
          <reference field="6" count="1">
            <x v="1"/>
          </reference>
        </references>
      </pivotArea>
    </format>
    <format dxfId="3149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38"/>
          </reference>
          <reference field="6" count="1">
            <x v="1"/>
          </reference>
        </references>
      </pivotArea>
    </format>
    <format dxfId="3148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39"/>
          </reference>
          <reference field="6" count="1">
            <x v="1"/>
          </reference>
        </references>
      </pivotArea>
    </format>
    <format dxfId="3147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41"/>
          </reference>
          <reference field="6" count="1">
            <x v="1"/>
          </reference>
        </references>
      </pivotArea>
    </format>
    <format dxfId="3146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43"/>
          </reference>
          <reference field="6" count="1">
            <x v="1"/>
          </reference>
        </references>
      </pivotArea>
    </format>
    <format dxfId="3145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46"/>
          </reference>
          <reference field="6" count="1">
            <x v="1"/>
          </reference>
        </references>
      </pivotArea>
    </format>
    <format dxfId="3144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47"/>
          </reference>
          <reference field="6" count="1">
            <x v="1"/>
          </reference>
        </references>
      </pivotArea>
    </format>
    <format dxfId="3143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49"/>
          </reference>
          <reference field="6" count="1">
            <x v="1"/>
          </reference>
        </references>
      </pivotArea>
    </format>
    <format dxfId="3142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51"/>
          </reference>
          <reference field="6" count="1">
            <x v="1"/>
          </reference>
        </references>
      </pivotArea>
    </format>
    <format dxfId="3141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53"/>
          </reference>
          <reference field="6" count="1">
            <x v="1"/>
          </reference>
        </references>
      </pivotArea>
    </format>
    <format dxfId="3140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55"/>
          </reference>
          <reference field="6" count="1">
            <x v="1"/>
          </reference>
        </references>
      </pivotArea>
    </format>
    <format dxfId="3139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56"/>
          </reference>
          <reference field="6" count="1">
            <x v="1"/>
          </reference>
        </references>
      </pivotArea>
    </format>
    <format dxfId="3138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57"/>
          </reference>
          <reference field="6" count="1">
            <x v="1"/>
          </reference>
        </references>
      </pivotArea>
    </format>
    <format dxfId="3137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59"/>
          </reference>
          <reference field="6" count="1">
            <x v="1"/>
          </reference>
        </references>
      </pivotArea>
    </format>
    <format dxfId="3136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61"/>
          </reference>
          <reference field="6" count="1">
            <x v="1"/>
          </reference>
        </references>
      </pivotArea>
    </format>
    <format dxfId="3135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62"/>
          </reference>
          <reference field="6" count="1">
            <x v="1"/>
          </reference>
        </references>
      </pivotArea>
    </format>
    <format dxfId="3134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64"/>
          </reference>
          <reference field="6" count="1">
            <x v="1"/>
          </reference>
        </references>
      </pivotArea>
    </format>
    <format dxfId="3133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66"/>
          </reference>
          <reference field="6" count="1">
            <x v="1"/>
          </reference>
        </references>
      </pivotArea>
    </format>
    <format dxfId="3132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68"/>
          </reference>
          <reference field="6" count="1">
            <x v="1"/>
          </reference>
        </references>
      </pivotArea>
    </format>
    <format dxfId="3131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70"/>
          </reference>
          <reference field="6" count="1">
            <x v="1"/>
          </reference>
        </references>
      </pivotArea>
    </format>
    <format dxfId="3130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71"/>
          </reference>
          <reference field="6" count="1">
            <x v="1"/>
          </reference>
        </references>
      </pivotArea>
    </format>
    <format dxfId="3129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73"/>
          </reference>
          <reference field="6" count="1">
            <x v="1"/>
          </reference>
        </references>
      </pivotArea>
    </format>
    <format dxfId="3128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75"/>
          </reference>
          <reference field="6" count="1">
            <x v="1"/>
          </reference>
        </references>
      </pivotArea>
    </format>
    <format dxfId="3127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77"/>
          </reference>
          <reference field="6" count="1">
            <x v="1"/>
          </reference>
        </references>
      </pivotArea>
    </format>
    <format dxfId="3126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78"/>
          </reference>
          <reference field="6" count="1">
            <x v="1"/>
          </reference>
        </references>
      </pivotArea>
    </format>
    <format dxfId="3125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79"/>
          </reference>
          <reference field="6" count="1">
            <x v="1"/>
          </reference>
        </references>
      </pivotArea>
    </format>
    <format dxfId="3124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81"/>
          </reference>
          <reference field="6" count="1">
            <x v="1"/>
          </reference>
        </references>
      </pivotArea>
    </format>
    <format dxfId="3123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83"/>
          </reference>
          <reference field="6" count="1">
            <x v="1"/>
          </reference>
        </references>
      </pivotArea>
    </format>
    <format dxfId="3122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84"/>
          </reference>
          <reference field="6" count="1">
            <x v="1"/>
          </reference>
        </references>
      </pivotArea>
    </format>
    <format dxfId="3121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85"/>
          </reference>
          <reference field="6" count="1">
            <x v="1"/>
          </reference>
        </references>
      </pivotArea>
    </format>
    <format dxfId="3120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87"/>
          </reference>
          <reference field="6" count="1">
            <x v="1"/>
          </reference>
        </references>
      </pivotArea>
    </format>
    <format dxfId="3119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89"/>
          </reference>
          <reference field="6" count="1">
            <x v="1"/>
          </reference>
        </references>
      </pivotArea>
    </format>
    <format dxfId="3118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91"/>
          </reference>
          <reference field="6" count="1">
            <x v="1"/>
          </reference>
        </references>
      </pivotArea>
    </format>
    <format dxfId="3117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4" count="1" selected="0">
            <x v="93"/>
          </reference>
          <reference field="6" count="1">
            <x v="1"/>
          </reference>
        </references>
      </pivotArea>
    </format>
    <format dxfId="3116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5"/>
          </reference>
          <reference field="4" count="1" selected="0">
            <x v="20"/>
          </reference>
          <reference field="6" count="1">
            <x v="0"/>
          </reference>
        </references>
      </pivotArea>
    </format>
    <format dxfId="3115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7"/>
          </reference>
          <reference field="4" count="1" selected="0">
            <x v="7"/>
          </reference>
          <reference field="6" count="1">
            <x v="0"/>
          </reference>
        </references>
      </pivotArea>
    </format>
    <format dxfId="3114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8"/>
          </reference>
          <reference field="4" count="1" selected="0">
            <x v="17"/>
          </reference>
          <reference field="6" count="1">
            <x v="0"/>
          </reference>
        </references>
      </pivotArea>
    </format>
    <format dxfId="3113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9"/>
          </reference>
          <reference field="4" count="1" selected="0">
            <x v="13"/>
          </reference>
          <reference field="6" count="1">
            <x v="0"/>
          </reference>
        </references>
      </pivotArea>
    </format>
    <format dxfId="3112">
      <pivotArea dataOnly="0" labelOnly="1" outline="0" fieldPosition="0">
        <references count="4">
          <reference field="2" count="1" selected="0">
            <x v="2"/>
          </reference>
          <reference field="3" count="1" selected="0">
            <x v="34"/>
          </reference>
          <reference field="4" count="1" selected="0">
            <x v="3"/>
          </reference>
          <reference field="6" count="1">
            <x v="0"/>
          </reference>
        </references>
      </pivotArea>
    </format>
    <format dxfId="3111">
      <pivotArea dataOnly="0" labelOnly="1" outline="0" fieldPosition="0">
        <references count="4">
          <reference field="2" count="1" selected="0">
            <x v="2"/>
          </reference>
          <reference field="3" count="1" selected="0">
            <x v="34"/>
          </reference>
          <reference field="4" count="1" selected="0">
            <x v="5"/>
          </reference>
          <reference field="6" count="1">
            <x v="0"/>
          </reference>
        </references>
      </pivotArea>
    </format>
    <format dxfId="3110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1"/>
          </reference>
          <reference field="4" count="1" selected="0">
            <x v="7"/>
          </reference>
          <reference field="6" count="1">
            <x v="0"/>
          </reference>
        </references>
      </pivotArea>
    </format>
    <format dxfId="3109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2"/>
          </reference>
          <reference field="4" count="1" selected="0">
            <x v="6"/>
          </reference>
          <reference field="6" count="1">
            <x v="0"/>
          </reference>
        </references>
      </pivotArea>
    </format>
    <format dxfId="3108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8"/>
          </reference>
          <reference field="4" count="1" selected="0">
            <x v="14"/>
          </reference>
          <reference field="6" count="1">
            <x v="0"/>
          </reference>
        </references>
      </pivotArea>
    </format>
    <format dxfId="3107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11"/>
          </reference>
          <reference field="4" count="1" selected="0">
            <x v="8"/>
          </reference>
          <reference field="6" count="1">
            <x v="0"/>
          </reference>
        </references>
      </pivotArea>
    </format>
    <format dxfId="3106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12"/>
          </reference>
          <reference field="4" count="1" selected="0">
            <x v="12"/>
          </reference>
          <reference field="6" count="1">
            <x v="0"/>
          </reference>
        </references>
      </pivotArea>
    </format>
    <format dxfId="3105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16"/>
          </reference>
          <reference field="4" count="1" selected="0">
            <x v="24"/>
          </reference>
          <reference field="6" count="1">
            <x v="0"/>
          </reference>
        </references>
      </pivotArea>
    </format>
    <format dxfId="3104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23"/>
          </reference>
          <reference field="4" count="1" selected="0">
            <x v="8"/>
          </reference>
          <reference field="6" count="1">
            <x v="0"/>
          </reference>
        </references>
      </pivotArea>
    </format>
    <format dxfId="3103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24"/>
          </reference>
          <reference field="4" count="1" selected="0">
            <x v="15"/>
          </reference>
          <reference field="6" count="1">
            <x v="0"/>
          </reference>
        </references>
      </pivotArea>
    </format>
    <format dxfId="3102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26"/>
          </reference>
          <reference field="4" count="1" selected="0">
            <x v="6"/>
          </reference>
          <reference field="6" count="1">
            <x v="0"/>
          </reference>
        </references>
      </pivotArea>
    </format>
    <format dxfId="3101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29"/>
          </reference>
          <reference field="4" count="1" selected="0">
            <x v="7"/>
          </reference>
          <reference field="6" count="1">
            <x v="0"/>
          </reference>
        </references>
      </pivotArea>
    </format>
    <format dxfId="3100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30"/>
          </reference>
          <reference field="4" count="1" selected="0">
            <x v="8"/>
          </reference>
          <reference field="6" count="1">
            <x v="0"/>
          </reference>
        </references>
      </pivotArea>
    </format>
    <format dxfId="3099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32"/>
          </reference>
          <reference field="4" count="1" selected="0">
            <x v="7"/>
          </reference>
          <reference field="6" count="1">
            <x v="0"/>
          </reference>
        </references>
      </pivotArea>
    </format>
    <format dxfId="3098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33"/>
          </reference>
          <reference field="4" count="1" selected="0">
            <x v="2"/>
          </reference>
          <reference field="6" count="1">
            <x v="0"/>
          </reference>
        </references>
      </pivotArea>
    </format>
    <format dxfId="3097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34"/>
          </reference>
          <reference field="4" count="1" selected="0">
            <x v="24"/>
          </reference>
          <reference field="6" count="1">
            <x v="0"/>
          </reference>
        </references>
      </pivotArea>
    </format>
    <format dxfId="3096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34"/>
          </reference>
          <reference field="4" count="1" selected="0">
            <x v="38"/>
          </reference>
          <reference field="6" count="1">
            <x v="1"/>
          </reference>
        </references>
      </pivotArea>
    </format>
    <format dxfId="3095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34"/>
          </reference>
          <reference field="4" count="1" selected="0">
            <x v="69"/>
          </reference>
          <reference field="6" count="1">
            <x v="1"/>
          </reference>
        </references>
      </pivotArea>
    </format>
    <format dxfId="3094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34"/>
          </reference>
          <reference field="4" count="1" selected="0">
            <x v="105"/>
          </reference>
          <reference field="6" count="1">
            <x v="1"/>
          </reference>
        </references>
      </pivotArea>
    </format>
    <format dxfId="3093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34"/>
          </reference>
          <reference field="4" count="1" selected="0">
            <x v="106"/>
          </reference>
          <reference field="6" count="1">
            <x v="1"/>
          </reference>
        </references>
      </pivotArea>
    </format>
    <format dxfId="3092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42"/>
          </reference>
          <reference field="4" count="1" selected="0">
            <x v="0"/>
          </reference>
          <reference field="6" count="1">
            <x v="1"/>
          </reference>
        </references>
      </pivotArea>
    </format>
    <format dxfId="3091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42"/>
          </reference>
          <reference field="4" count="1" selected="0">
            <x v="38"/>
          </reference>
          <reference field="6" count="1">
            <x v="1"/>
          </reference>
        </references>
      </pivotArea>
    </format>
    <format dxfId="3090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42"/>
          </reference>
          <reference field="4" count="1" selected="0">
            <x v="69"/>
          </reference>
          <reference field="6" count="1">
            <x v="1"/>
          </reference>
        </references>
      </pivotArea>
    </format>
    <format dxfId="3089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42"/>
          </reference>
          <reference field="4" count="1" selected="0">
            <x v="76"/>
          </reference>
          <reference field="6" count="1">
            <x v="1"/>
          </reference>
        </references>
      </pivotArea>
    </format>
    <format dxfId="3088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42"/>
          </reference>
          <reference field="4" count="1" selected="0">
            <x v="89"/>
          </reference>
          <reference field="6" count="1">
            <x v="1"/>
          </reference>
        </references>
      </pivotArea>
    </format>
    <format dxfId="3087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42"/>
          </reference>
          <reference field="4" count="1" selected="0">
            <x v="103"/>
          </reference>
          <reference field="6" count="1">
            <x v="1"/>
          </reference>
        </references>
      </pivotArea>
    </format>
    <format dxfId="3086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42"/>
          </reference>
          <reference field="4" count="1" selected="0">
            <x v="105"/>
          </reference>
          <reference field="6" count="1">
            <x v="1"/>
          </reference>
        </references>
      </pivotArea>
    </format>
    <format dxfId="3085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42"/>
          </reference>
          <reference field="4" count="1" selected="0">
            <x v="106"/>
          </reference>
          <reference field="6" count="1">
            <x v="1"/>
          </reference>
        </references>
      </pivotArea>
    </format>
    <format dxfId="3084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42"/>
          </reference>
          <reference field="4" count="1" selected="0">
            <x v="107"/>
          </reference>
          <reference field="6" count="1">
            <x v="1"/>
          </reference>
        </references>
      </pivotArea>
    </format>
    <format dxfId="3083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42"/>
          </reference>
          <reference field="4" count="1" selected="0">
            <x v="108"/>
          </reference>
          <reference field="6" count="1">
            <x v="1"/>
          </reference>
        </references>
      </pivotArea>
    </format>
    <format dxfId="3082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42"/>
          </reference>
          <reference field="4" count="1" selected="0">
            <x v="109"/>
          </reference>
          <reference field="6" count="1">
            <x v="1"/>
          </reference>
        </references>
      </pivotArea>
    </format>
    <format dxfId="3081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42"/>
          </reference>
          <reference field="4" count="1" selected="0">
            <x v="110"/>
          </reference>
          <reference field="6" count="1">
            <x v="1"/>
          </reference>
        </references>
      </pivotArea>
    </format>
    <format dxfId="3080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42"/>
          </reference>
          <reference field="4" count="1" selected="0">
            <x v="111"/>
          </reference>
          <reference field="6" count="1">
            <x v="1"/>
          </reference>
        </references>
      </pivotArea>
    </format>
    <format dxfId="3079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44"/>
          </reference>
          <reference field="4" count="1" selected="0">
            <x v="29"/>
          </reference>
          <reference field="6" count="1">
            <x v="1"/>
          </reference>
        </references>
      </pivotArea>
    </format>
    <format dxfId="3078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44"/>
          </reference>
          <reference field="4" count="1" selected="0">
            <x v="103"/>
          </reference>
          <reference field="6" count="1">
            <x v="1"/>
          </reference>
        </references>
      </pivotArea>
    </format>
    <format dxfId="3077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44"/>
          </reference>
          <reference field="4" count="1" selected="0">
            <x v="104"/>
          </reference>
          <reference field="6" count="1">
            <x v="1"/>
          </reference>
        </references>
      </pivotArea>
    </format>
    <format dxfId="3076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45"/>
          </reference>
          <reference field="4" count="1" selected="0">
            <x v="1"/>
          </reference>
          <reference field="6" count="1">
            <x v="0"/>
          </reference>
        </references>
      </pivotArea>
    </format>
    <format dxfId="3075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46"/>
          </reference>
          <reference field="4" count="1" selected="0">
            <x v="2"/>
          </reference>
          <reference field="6" count="1">
            <x v="0"/>
          </reference>
        </references>
      </pivotArea>
    </format>
    <format dxfId="3074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49"/>
          </reference>
          <reference field="4" count="1" selected="0">
            <x v="95"/>
          </reference>
          <reference field="6" count="1">
            <x v="0"/>
          </reference>
        </references>
      </pivotArea>
    </format>
    <format dxfId="3073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50"/>
          </reference>
          <reference field="4" count="1" selected="0">
            <x v="29"/>
          </reference>
          <reference field="6" count="1">
            <x v="1"/>
          </reference>
        </references>
      </pivotArea>
    </format>
    <format dxfId="3072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51"/>
          </reference>
          <reference field="4" count="1" selected="0">
            <x v="96"/>
          </reference>
          <reference field="6" count="1">
            <x v="1"/>
          </reference>
        </references>
      </pivotArea>
    </format>
    <format dxfId="3071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52"/>
          </reference>
          <reference field="4" count="1" selected="0">
            <x v="97"/>
          </reference>
          <reference field="6" count="1">
            <x v="1"/>
          </reference>
        </references>
      </pivotArea>
    </format>
    <format dxfId="3070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53"/>
          </reference>
          <reference field="4" count="1" selected="0">
            <x v="83"/>
          </reference>
          <reference field="6" count="1">
            <x v="1"/>
          </reference>
        </references>
      </pivotArea>
    </format>
    <format dxfId="3069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53"/>
          </reference>
          <reference field="4" count="1" selected="0">
            <x v="98"/>
          </reference>
          <reference field="6" count="1">
            <x v="1"/>
          </reference>
        </references>
      </pivotArea>
    </format>
    <format dxfId="3068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53"/>
          </reference>
          <reference field="4" count="1" selected="0">
            <x v="99"/>
          </reference>
          <reference field="6" count="1">
            <x v="1"/>
          </reference>
        </references>
      </pivotArea>
    </format>
    <format dxfId="3067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53"/>
          </reference>
          <reference field="4" count="1" selected="0">
            <x v="100"/>
          </reference>
          <reference field="6" count="1">
            <x v="1"/>
          </reference>
        </references>
      </pivotArea>
    </format>
    <format dxfId="3066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53"/>
          </reference>
          <reference field="4" count="1" selected="0">
            <x v="101"/>
          </reference>
          <reference field="6" count="1">
            <x v="1"/>
          </reference>
        </references>
      </pivotArea>
    </format>
    <format dxfId="3065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53"/>
          </reference>
          <reference field="4" count="1" selected="0">
            <x v="102"/>
          </reference>
          <reference field="6" count="1">
            <x v="1"/>
          </reference>
        </references>
      </pivotArea>
    </format>
    <format dxfId="3064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54"/>
          </reference>
          <reference field="4" count="1" selected="0">
            <x v="6"/>
          </reference>
          <reference field="6" count="1">
            <x v="0"/>
          </reference>
        </references>
      </pivotArea>
    </format>
    <format dxfId="3063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22"/>
          </reference>
          <reference field="4" count="1" selected="0">
            <x v="17"/>
          </reference>
          <reference field="6" count="1">
            <x v="0"/>
          </reference>
        </references>
      </pivotArea>
    </format>
    <format dxfId="3062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27"/>
          </reference>
          <reference field="4" count="1" selected="0">
            <x v="18"/>
          </reference>
          <reference field="6" count="1">
            <x v="0"/>
          </reference>
        </references>
      </pivotArea>
    </format>
    <format dxfId="3061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28"/>
          </reference>
          <reference field="4" count="1" selected="0">
            <x v="22"/>
          </reference>
          <reference field="6" count="1">
            <x v="0"/>
          </reference>
        </references>
      </pivotArea>
    </format>
    <format dxfId="3060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4"/>
          </reference>
          <reference field="4" count="1" selected="0">
            <x v="11"/>
          </reference>
          <reference field="6" count="1">
            <x v="0"/>
          </reference>
        </references>
      </pivotArea>
    </format>
    <format dxfId="3059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4"/>
          </reference>
          <reference field="4" count="1" selected="0">
            <x v="16"/>
          </reference>
          <reference field="6" count="1">
            <x v="0"/>
          </reference>
        </references>
      </pivotArea>
    </format>
    <format dxfId="3058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4"/>
          </reference>
          <reference field="4" count="1" selected="0">
            <x v="19"/>
          </reference>
          <reference field="6" count="1">
            <x v="0"/>
          </reference>
        </references>
      </pivotArea>
    </format>
    <format dxfId="3057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4"/>
          </reference>
          <reference field="4" count="1" selected="0">
            <x v="21"/>
          </reference>
          <reference field="6" count="1">
            <x v="0"/>
          </reference>
        </references>
      </pivotArea>
    </format>
    <format dxfId="3056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4"/>
          </reference>
          <reference field="4" count="1" selected="0">
            <x v="60"/>
          </reference>
          <reference field="6" count="1">
            <x v="1"/>
          </reference>
        </references>
      </pivotArea>
    </format>
    <format dxfId="3055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4"/>
          </reference>
          <reference field="4" count="1" selected="0">
            <x v="95"/>
          </reference>
          <reference field="6" count="1">
            <x v="1"/>
          </reference>
        </references>
      </pivotArea>
    </format>
    <format dxfId="3054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4"/>
          </reference>
          <reference field="4" count="1" selected="0">
            <x v="112"/>
          </reference>
          <reference field="6" count="1">
            <x v="1"/>
          </reference>
        </references>
      </pivotArea>
    </format>
    <format dxfId="3053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4"/>
          </reference>
          <reference field="4" count="1" selected="0">
            <x v="113"/>
          </reference>
          <reference field="6" count="1">
            <x v="1"/>
          </reference>
        </references>
      </pivotArea>
    </format>
    <format dxfId="3052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4"/>
          </reference>
          <reference field="4" count="1" selected="0">
            <x v="114"/>
          </reference>
          <reference field="6" count="1">
            <x v="1"/>
          </reference>
        </references>
      </pivotArea>
    </format>
    <format dxfId="3051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4"/>
          </reference>
          <reference field="4" count="1" selected="0">
            <x v="115"/>
          </reference>
          <reference field="6" count="1">
            <x v="1"/>
          </reference>
        </references>
      </pivotArea>
    </format>
    <format dxfId="3050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4"/>
          </reference>
          <reference field="4" count="1" selected="0">
            <x v="116"/>
          </reference>
          <reference field="6" count="1">
            <x v="1"/>
          </reference>
        </references>
      </pivotArea>
    </format>
    <format dxfId="3049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4"/>
          </reference>
          <reference field="4" count="1" selected="0">
            <x v="117"/>
          </reference>
          <reference field="6" count="1">
            <x v="1"/>
          </reference>
        </references>
      </pivotArea>
    </format>
    <format dxfId="3048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4"/>
          </reference>
          <reference field="4" count="1" selected="0">
            <x v="118"/>
          </reference>
          <reference field="6" count="1">
            <x v="1"/>
          </reference>
        </references>
      </pivotArea>
    </format>
    <format dxfId="3047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4"/>
          </reference>
          <reference field="4" count="1" selected="0">
            <x v="119"/>
          </reference>
          <reference field="6" count="1">
            <x v="1"/>
          </reference>
        </references>
      </pivotArea>
    </format>
    <format dxfId="3046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4"/>
          </reference>
          <reference field="4" count="1" selected="0">
            <x v="120"/>
          </reference>
          <reference field="6" count="1">
            <x v="1"/>
          </reference>
        </references>
      </pivotArea>
    </format>
    <format dxfId="3045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4"/>
          </reference>
          <reference field="4" count="1" selected="0">
            <x v="121"/>
          </reference>
          <reference field="6" count="1">
            <x v="1"/>
          </reference>
        </references>
      </pivotArea>
    </format>
    <format dxfId="3044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4"/>
          </reference>
          <reference field="4" count="1" selected="0">
            <x v="122"/>
          </reference>
          <reference field="6" count="1">
            <x v="1"/>
          </reference>
        </references>
      </pivotArea>
    </format>
    <format dxfId="3043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4"/>
          </reference>
          <reference field="4" count="1" selected="0">
            <x v="123"/>
          </reference>
          <reference field="6" count="1">
            <x v="1"/>
          </reference>
        </references>
      </pivotArea>
    </format>
    <format dxfId="3042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4"/>
          </reference>
          <reference field="4" count="1" selected="0">
            <x v="124"/>
          </reference>
          <reference field="6" count="1">
            <x v="1"/>
          </reference>
        </references>
      </pivotArea>
    </format>
    <format dxfId="3041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4"/>
          </reference>
          <reference field="4" count="1" selected="0">
            <x v="125"/>
          </reference>
          <reference field="6" count="1">
            <x v="1"/>
          </reference>
        </references>
      </pivotArea>
    </format>
    <format dxfId="3040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4"/>
          </reference>
          <reference field="4" count="1" selected="0">
            <x v="126"/>
          </reference>
          <reference field="6" count="1">
            <x v="1"/>
          </reference>
        </references>
      </pivotArea>
    </format>
    <format dxfId="3039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4"/>
          </reference>
          <reference field="4" count="1" selected="0">
            <x v="127"/>
          </reference>
          <reference field="6" count="1">
            <x v="1"/>
          </reference>
        </references>
      </pivotArea>
    </format>
    <format dxfId="3038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4"/>
          </reference>
          <reference field="4" count="1" selected="0">
            <x v="128"/>
          </reference>
          <reference field="6" count="1">
            <x v="1"/>
          </reference>
        </references>
      </pivotArea>
    </format>
    <format dxfId="3037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4"/>
          </reference>
          <reference field="4" count="1" selected="0">
            <x v="129"/>
          </reference>
          <reference field="6" count="1">
            <x v="1"/>
          </reference>
        </references>
      </pivotArea>
    </format>
    <format dxfId="3036">
      <pivotArea dataOnly="0" labelOnly="1" outline="0" fieldPosition="0">
        <references count="4">
          <reference field="2" count="1" selected="0">
            <x v="5"/>
          </reference>
          <reference field="3" count="1" selected="0">
            <x v="0"/>
          </reference>
          <reference field="4" count="1" selected="0">
            <x v="48"/>
          </reference>
          <reference field="6" count="1">
            <x v="1"/>
          </reference>
        </references>
      </pivotArea>
    </format>
    <format dxfId="3035">
      <pivotArea dataOnly="0" labelOnly="1" outline="0" fieldPosition="0">
        <references count="4">
          <reference field="2" count="1" selected="0">
            <x v="5"/>
          </reference>
          <reference field="3" count="1" selected="0">
            <x v="13"/>
          </reference>
          <reference field="4" count="1" selected="0">
            <x v="30"/>
          </reference>
          <reference field="6" count="1">
            <x v="1"/>
          </reference>
        </references>
      </pivotArea>
    </format>
    <format dxfId="3034">
      <pivotArea dataOnly="0" labelOnly="1" outline="0" fieldPosition="0">
        <references count="4">
          <reference field="2" count="1" selected="0">
            <x v="5"/>
          </reference>
          <reference field="3" count="1" selected="0">
            <x v="20"/>
          </reference>
          <reference field="4" count="1" selected="0">
            <x v="40"/>
          </reference>
          <reference field="6" count="1">
            <x v="1"/>
          </reference>
        </references>
      </pivotArea>
    </format>
    <format dxfId="3033">
      <pivotArea dataOnly="0" labelOnly="1" outline="0" fieldPosition="0">
        <references count="4">
          <reference field="2" count="1" selected="0">
            <x v="5"/>
          </reference>
          <reference field="3" count="1" selected="0">
            <x v="21"/>
          </reference>
          <reference field="4" count="1" selected="0">
            <x v="17"/>
          </reference>
          <reference field="6" count="1">
            <x v="0"/>
          </reference>
        </references>
      </pivotArea>
    </format>
    <format dxfId="3032">
      <pivotArea dataOnly="0" labelOnly="1" outline="0" fieldPosition="0">
        <references count="4">
          <reference field="2" count="1" selected="0">
            <x v="5"/>
          </reference>
          <reference field="3" count="1" selected="0">
            <x v="30"/>
          </reference>
          <reference field="4" count="1" selected="0">
            <x v="25"/>
          </reference>
          <reference field="6" count="1">
            <x v="1"/>
          </reference>
        </references>
      </pivotArea>
    </format>
    <format dxfId="3031">
      <pivotArea dataOnly="0" labelOnly="1" outline="0" fieldPosition="0">
        <references count="4">
          <reference field="2" count="1" selected="0">
            <x v="5"/>
          </reference>
          <reference field="3" count="1" selected="0">
            <x v="40"/>
          </reference>
          <reference field="4" count="1" selected="0">
            <x v="44"/>
          </reference>
          <reference field="6" count="1">
            <x v="1"/>
          </reference>
        </references>
      </pivotArea>
    </format>
    <format dxfId="3030">
      <pivotArea dataOnly="0" labelOnly="1" outline="0" fieldPosition="0">
        <references count="4">
          <reference field="2" count="1" selected="0">
            <x v="5"/>
          </reference>
          <reference field="3" count="1" selected="0">
            <x v="44"/>
          </reference>
          <reference field="4" count="1" selected="0">
            <x v="35"/>
          </reference>
          <reference field="6" count="1">
            <x v="1"/>
          </reference>
        </references>
      </pivotArea>
    </format>
    <format dxfId="3029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25"/>
          </reference>
          <reference field="4" count="1">
            <x v="18"/>
          </reference>
        </references>
      </pivotArea>
    </format>
    <format dxfId="3028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31"/>
          </reference>
          <reference field="4" count="1">
            <x v="10"/>
          </reference>
        </references>
      </pivotArea>
    </format>
    <format dxfId="3027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34"/>
          </reference>
          <reference field="4" count="1">
            <x v="22"/>
          </reference>
        </references>
      </pivotArea>
    </format>
    <format dxfId="3026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36"/>
          </reference>
          <reference field="4" count="2">
            <x v="7"/>
            <x v="13"/>
          </reference>
        </references>
      </pivotArea>
    </format>
    <format dxfId="3025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43"/>
          </reference>
          <reference field="4" count="3">
            <x v="2"/>
            <x v="9"/>
            <x v="17"/>
          </reference>
        </references>
      </pivotArea>
    </format>
    <format dxfId="3024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3"/>
          </reference>
          <reference field="4" count="1">
            <x v="8"/>
          </reference>
        </references>
      </pivotArea>
    </format>
    <format dxfId="3023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4"/>
          </reference>
          <reference field="4" count="1">
            <x v="14"/>
          </reference>
        </references>
      </pivotArea>
    </format>
    <format dxfId="3022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5"/>
          </reference>
          <reference field="4" count="1">
            <x v="23"/>
          </reference>
        </references>
      </pivotArea>
    </format>
    <format dxfId="3021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6"/>
          </reference>
          <reference field="4" count="1">
            <x v="4"/>
          </reference>
        </references>
      </pivotArea>
    </format>
    <format dxfId="3020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9"/>
          </reference>
          <reference field="4" count="1">
            <x v="0"/>
          </reference>
        </references>
      </pivotArea>
    </format>
    <format dxfId="3019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10"/>
          </reference>
          <reference field="4" count="1">
            <x v="14"/>
          </reference>
        </references>
      </pivotArea>
    </format>
    <format dxfId="3018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14"/>
          </reference>
          <reference field="4" count="1">
            <x v="0"/>
          </reference>
        </references>
      </pivotArea>
    </format>
    <format dxfId="3017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34"/>
          </reference>
          <reference field="4" count="1">
            <x v="25"/>
          </reference>
        </references>
      </pivotArea>
    </format>
    <format dxfId="3016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35"/>
          </reference>
          <reference field="4" count="1">
            <x v="20"/>
          </reference>
        </references>
      </pivotArea>
    </format>
    <format dxfId="3015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37"/>
          </reference>
          <reference field="4" count="1">
            <x v="7"/>
          </reference>
        </references>
      </pivotArea>
    </format>
    <format dxfId="3014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38"/>
          </reference>
          <reference field="4" count="1">
            <x v="17"/>
          </reference>
        </references>
      </pivotArea>
    </format>
    <format dxfId="3013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39"/>
          </reference>
          <reference field="4" count="1">
            <x v="13"/>
          </reference>
        </references>
      </pivotArea>
    </format>
    <format dxfId="3012">
      <pivotArea dataOnly="0" labelOnly="1" outline="0" fieldPosition="0">
        <references count="3">
          <reference field="2" count="1" selected="0">
            <x v="2"/>
          </reference>
          <reference field="3" count="1" selected="0">
            <x v="34"/>
          </reference>
          <reference field="4" count="2">
            <x v="3"/>
            <x v="5"/>
          </reference>
        </references>
      </pivotArea>
    </format>
    <format dxfId="3011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1"/>
          </reference>
          <reference field="4" count="1">
            <x v="7"/>
          </reference>
        </references>
      </pivotArea>
    </format>
    <format dxfId="3010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2"/>
          </reference>
          <reference field="4" count="1">
            <x v="6"/>
          </reference>
        </references>
      </pivotArea>
    </format>
    <format dxfId="3009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8"/>
          </reference>
          <reference field="4" count="1">
            <x v="14"/>
          </reference>
        </references>
      </pivotArea>
    </format>
    <format dxfId="3008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11"/>
          </reference>
          <reference field="4" count="1">
            <x v="8"/>
          </reference>
        </references>
      </pivotArea>
    </format>
    <format dxfId="3007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12"/>
          </reference>
          <reference field="4" count="1">
            <x v="12"/>
          </reference>
        </references>
      </pivotArea>
    </format>
    <format dxfId="3006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16"/>
          </reference>
          <reference field="4" count="1">
            <x v="24"/>
          </reference>
        </references>
      </pivotArea>
    </format>
    <format dxfId="3005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23"/>
          </reference>
          <reference field="4" count="1">
            <x v="8"/>
          </reference>
        </references>
      </pivotArea>
    </format>
    <format dxfId="3004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24"/>
          </reference>
          <reference field="4" count="1">
            <x v="15"/>
          </reference>
        </references>
      </pivotArea>
    </format>
    <format dxfId="3003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26"/>
          </reference>
          <reference field="4" count="1">
            <x v="6"/>
          </reference>
        </references>
      </pivotArea>
    </format>
    <format dxfId="3002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29"/>
          </reference>
          <reference field="4" count="1">
            <x v="7"/>
          </reference>
        </references>
      </pivotArea>
    </format>
    <format dxfId="3001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30"/>
          </reference>
          <reference field="4" count="1">
            <x v="8"/>
          </reference>
        </references>
      </pivotArea>
    </format>
    <format dxfId="3000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32"/>
          </reference>
          <reference field="4" count="1">
            <x v="7"/>
          </reference>
        </references>
      </pivotArea>
    </format>
    <format dxfId="2999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33"/>
          </reference>
          <reference field="4" count="1">
            <x v="2"/>
          </reference>
        </references>
      </pivotArea>
    </format>
    <format dxfId="2998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34"/>
          </reference>
          <reference field="4" count="1">
            <x v="24"/>
          </reference>
        </references>
      </pivotArea>
    </format>
    <format dxfId="2997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42"/>
          </reference>
          <reference field="4" count="3">
            <x v="0"/>
            <x v="107"/>
            <x v="108"/>
          </reference>
        </references>
      </pivotArea>
    </format>
    <format dxfId="2996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45"/>
          </reference>
          <reference field="4" count="1">
            <x v="1"/>
          </reference>
        </references>
      </pivotArea>
    </format>
    <format dxfId="2995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46"/>
          </reference>
          <reference field="4" count="1">
            <x v="2"/>
          </reference>
        </references>
      </pivotArea>
    </format>
    <format dxfId="2994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49"/>
          </reference>
          <reference field="4" count="1">
            <x v="95"/>
          </reference>
        </references>
      </pivotArea>
    </format>
    <format dxfId="2993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54"/>
          </reference>
          <reference field="4" count="1">
            <x v="6"/>
          </reference>
        </references>
      </pivotArea>
    </format>
    <format dxfId="2992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22"/>
          </reference>
          <reference field="4" count="1">
            <x v="17"/>
          </reference>
        </references>
      </pivotArea>
    </format>
    <format dxfId="2991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27"/>
          </reference>
          <reference field="4" count="1">
            <x v="18"/>
          </reference>
        </references>
      </pivotArea>
    </format>
    <format dxfId="2990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28"/>
          </reference>
          <reference field="4" count="1">
            <x v="22"/>
          </reference>
        </references>
      </pivotArea>
    </format>
    <format dxfId="2989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34"/>
          </reference>
          <reference field="4" count="5">
            <x v="11"/>
            <x v="16"/>
            <x v="19"/>
            <x v="21"/>
            <x v="95"/>
          </reference>
        </references>
      </pivotArea>
    </format>
    <format dxfId="2988">
      <pivotArea dataOnly="0" labelOnly="1" outline="0" fieldPosition="0">
        <references count="3">
          <reference field="2" count="1" selected="0">
            <x v="5"/>
          </reference>
          <reference field="3" count="1" selected="0">
            <x v="21"/>
          </reference>
          <reference field="4" count="1">
            <x v="17"/>
          </reference>
        </references>
      </pivotArea>
    </format>
    <format dxfId="2987">
      <pivotArea dataOnly="0" labelOnly="1" outline="0" fieldPosition="0">
        <references count="3">
          <reference field="2" count="1" selected="0">
            <x v="5"/>
          </reference>
          <reference field="3" count="1" selected="0">
            <x v="30"/>
          </reference>
          <reference field="4" count="1">
            <x v="25"/>
          </reference>
        </references>
      </pivotArea>
    </format>
  </formats>
  <pivotTableStyleInfo name="PivotStyleMedium9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MPRESA" xr10:uid="{82B31B10-84AC-42EF-A542-0A9F10BC9BA8}" sourceName="EMPRESA">
  <pivotTables>
    <pivotTable tabId="9" name="TablaDinámica1"/>
  </pivotTables>
  <data>
    <tabular pivotCacheId="900068930">
      <items count="6">
        <i x="0" s="1"/>
        <i x="1" s="1"/>
        <i x="2" s="1"/>
        <i x="3" s="1"/>
        <i x="4" s="1"/>
        <i x="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MANA" xr10:uid="{AAE4D053-70DC-4895-A3AF-E58C4A48922D}" sourceName="SEMANA">
  <pivotTables>
    <pivotTable tabId="9" name="TablaDinámica1"/>
  </pivotTables>
  <data>
    <tabular pivotCacheId="900068930">
      <items count="51">
        <i x="49" s="1"/>
        <i x="16" s="1"/>
        <i x="24" s="1"/>
        <i x="0" s="1"/>
        <i x="17" s="1"/>
        <i x="1" s="1"/>
        <i x="2" s="1"/>
        <i x="3" s="1"/>
        <i x="25" s="1"/>
        <i x="4" s="1"/>
        <i x="26" s="1"/>
        <i x="5" s="1"/>
        <i x="27" s="1"/>
        <i x="6" s="1"/>
        <i x="28" s="1"/>
        <i x="7" s="1"/>
        <i x="29" s="1"/>
        <i x="30" s="1"/>
        <i x="31" s="1"/>
        <i x="8" s="1"/>
        <i x="18" s="1"/>
        <i x="32" s="1"/>
        <i x="33" s="1"/>
        <i x="34" s="1"/>
        <i x="9" s="1"/>
        <i x="35" s="1"/>
        <i x="36" s="1"/>
        <i x="37" s="1"/>
        <i x="10" s="1"/>
        <i x="19" s="1"/>
        <i x="38" s="1"/>
        <i x="39" s="1"/>
        <i x="11" s="1"/>
        <i x="20" s="1"/>
        <i x="40" s="1"/>
        <i x="41" s="1"/>
        <i x="12" s="1"/>
        <i x="21" s="1"/>
        <i x="42" s="1"/>
        <i x="43" s="1"/>
        <i x="44" s="1"/>
        <i x="13" s="1"/>
        <i x="22" s="1"/>
        <i x="45" s="1"/>
        <i x="46" s="1"/>
        <i x="14" s="1"/>
        <i x="23" s="1"/>
        <i x="15" s="1"/>
        <i x="48" s="1"/>
        <i x="50" s="1"/>
        <i x="47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EDF70989-DC7A-4C71-83A1-92792E5BA236}" sourceName="MES">
  <pivotTables>
    <pivotTable tabId="9" name="TablaDinámica1"/>
  </pivotTables>
  <data>
    <tabular pivotCacheId="900068930">
      <items count="13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MPRESA" xr10:uid="{7F1BB799-215A-4589-9CE4-6C5E9C30074E}" cache="SegmentaciónDeDatos_EMPRESA" caption="EMPRESA" style="SlicerStyleOther2" rowHeight="234950"/>
  <slicer name="SEMANA" xr10:uid="{82C8D473-02BD-4881-AF09-FF075716F4B9}" cache="SegmentaciónDeDatos_SEMANA" caption="SEMANA" columnCount="4" rowHeight="234950"/>
  <slicer name="MES" xr10:uid="{5E67968D-D886-40AC-87EE-77FE4132DBD5}" cache="SegmentaciónDeDatos_MES" caption="MES" columnCount="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66F36B-E399-41C0-A928-781C761E72DB}" name="TablaPrevencionista" displayName="TablaPrevencionista" ref="A3:H180" totalsRowShown="0" headerRowDxfId="2986" headerRowBorderDxfId="2985" tableBorderDxfId="2984">
  <autoFilter ref="A3:H180" xr:uid="{1D66F36B-E399-41C0-A928-781C761E72DB}"/>
  <tableColumns count="8">
    <tableColumn id="1" xr3:uid="{3DEC2A15-5485-49CB-BE4E-42DCF023F8AA}" name="SEMANA" dataDxfId="2983">
      <calculatedColumnFormula>WEEKNUM(E4,2)</calculatedColumnFormula>
    </tableColumn>
    <tableColumn id="2" xr3:uid="{83B4C8BD-09AA-45D7-AC36-FB42294F5C61}" name="MES" dataDxfId="2982">
      <calculatedColumnFormula>TEXT(E4,"mmmm")</calculatedColumnFormula>
    </tableColumn>
    <tableColumn id="3" xr3:uid="{21EFE363-A0F9-4AE7-A860-2DB7D99E4C96}" name="EMPRESA" dataDxfId="2981"/>
    <tableColumn id="4" xr3:uid="{F7741FE4-B0A4-44B7-B3BD-91610F067CC7}" name="ACTIVIDAD" dataDxfId="2980"/>
    <tableColumn id="5" xr3:uid="{EBA26AA8-CDB5-4D71-AA30-A8D31E2CFA63}" name="FECHA PROGRAMADA" dataDxfId="2979">
      <calculatedColumnFormula>E3+15</calculatedColumnFormula>
    </tableColumn>
    <tableColumn id="6" xr3:uid="{65ABAE99-6E32-409A-84A0-9E63701D9598}" name="FECHA REALIZADA" dataDxfId="2978"/>
    <tableColumn id="7" xr3:uid="{09412530-2F7E-4727-AEE5-3B51D7364E77}" name="ESTADO" dataDxfId="2977"/>
    <tableColumn id="8" xr3:uid="{CB9E7A7A-2CE6-482C-9DA5-E36DE3BA815A}" name="OBSERVACIONES" dataDxfId="297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39D8E-DFE8-4153-AE39-F237C0865972}">
  <dimension ref="A1:D177"/>
  <sheetViews>
    <sheetView showGridLines="0" workbookViewId="0">
      <selection activeCell="L9" sqref="L9"/>
    </sheetView>
  </sheetViews>
  <sheetFormatPr baseColWidth="10" defaultRowHeight="14.4"/>
  <cols>
    <col min="1" max="1" width="11.21875" style="18" customWidth="1"/>
    <col min="2" max="2" width="33.33203125" customWidth="1"/>
    <col min="3" max="3" width="20.33203125" style="17" bestFit="1" customWidth="1"/>
    <col min="4" max="4" width="13.77734375" style="17" bestFit="1" customWidth="1"/>
    <col min="5" max="5" width="13.6640625" bestFit="1" customWidth="1"/>
    <col min="6" max="6" width="10.5546875" bestFit="1" customWidth="1"/>
  </cols>
  <sheetData>
    <row r="1" spans="1:4" s="79" customFormat="1" ht="27.6">
      <c r="A1" s="80" t="s">
        <v>0</v>
      </c>
      <c r="B1" s="80" t="s">
        <v>35</v>
      </c>
      <c r="C1" s="81" t="s">
        <v>162</v>
      </c>
      <c r="D1" s="80" t="s">
        <v>38</v>
      </c>
    </row>
    <row r="2" spans="1:4">
      <c r="A2" s="106" t="s">
        <v>29</v>
      </c>
      <c r="B2" s="108" t="s">
        <v>115</v>
      </c>
      <c r="C2" s="35">
        <v>46087</v>
      </c>
      <c r="D2" s="18" t="s">
        <v>64</v>
      </c>
    </row>
    <row r="3" spans="1:4">
      <c r="A3" s="106" t="s">
        <v>29</v>
      </c>
      <c r="B3" s="108" t="s">
        <v>100</v>
      </c>
      <c r="C3" s="35">
        <v>46072</v>
      </c>
      <c r="D3" s="18" t="s">
        <v>64</v>
      </c>
    </row>
    <row r="4" spans="1:4">
      <c r="A4" s="106" t="s">
        <v>29</v>
      </c>
      <c r="B4" s="108" t="s">
        <v>87</v>
      </c>
      <c r="C4" s="35">
        <v>46100</v>
      </c>
      <c r="D4" s="18" t="s">
        <v>64</v>
      </c>
    </row>
    <row r="5" spans="1:4">
      <c r="A5" s="106" t="s">
        <v>29</v>
      </c>
      <c r="B5" s="108" t="s">
        <v>87</v>
      </c>
      <c r="C5" s="35">
        <v>46114</v>
      </c>
      <c r="D5" s="18" t="s">
        <v>39</v>
      </c>
    </row>
    <row r="6" spans="1:4">
      <c r="A6" s="106" t="s">
        <v>29</v>
      </c>
      <c r="B6" s="108" t="s">
        <v>87</v>
      </c>
      <c r="C6" s="35">
        <v>46128</v>
      </c>
      <c r="D6" s="18" t="s">
        <v>39</v>
      </c>
    </row>
    <row r="7" spans="1:4">
      <c r="A7" s="106" t="s">
        <v>29</v>
      </c>
      <c r="B7" s="108" t="s">
        <v>87</v>
      </c>
      <c r="C7" s="35">
        <v>46142</v>
      </c>
      <c r="D7" s="18" t="s">
        <v>39</v>
      </c>
    </row>
    <row r="8" spans="1:4">
      <c r="A8" s="106" t="s">
        <v>29</v>
      </c>
      <c r="B8" s="108" t="s">
        <v>87</v>
      </c>
      <c r="C8" s="35">
        <v>46172</v>
      </c>
      <c r="D8" s="18" t="s">
        <v>39</v>
      </c>
    </row>
    <row r="9" spans="1:4">
      <c r="A9" s="106" t="s">
        <v>29</v>
      </c>
      <c r="B9" s="108" t="s">
        <v>87</v>
      </c>
      <c r="C9" s="35">
        <v>46202</v>
      </c>
      <c r="D9" s="18" t="s">
        <v>39</v>
      </c>
    </row>
    <row r="10" spans="1:4">
      <c r="A10" s="106" t="s">
        <v>29</v>
      </c>
      <c r="B10" s="108" t="s">
        <v>87</v>
      </c>
      <c r="C10" s="35">
        <v>46232</v>
      </c>
      <c r="D10" s="18" t="s">
        <v>39</v>
      </c>
    </row>
    <row r="11" spans="1:4">
      <c r="A11" s="106" t="s">
        <v>29</v>
      </c>
      <c r="B11" s="108" t="s">
        <v>87</v>
      </c>
      <c r="C11" s="35">
        <v>46262</v>
      </c>
      <c r="D11" s="18" t="s">
        <v>39</v>
      </c>
    </row>
    <row r="12" spans="1:4">
      <c r="A12" s="106" t="s">
        <v>29</v>
      </c>
      <c r="B12" s="108" t="s">
        <v>87</v>
      </c>
      <c r="C12" s="35">
        <v>46292</v>
      </c>
      <c r="D12" s="18" t="s">
        <v>39</v>
      </c>
    </row>
    <row r="13" spans="1:4">
      <c r="A13" s="106" t="s">
        <v>29</v>
      </c>
      <c r="B13" s="108" t="s">
        <v>87</v>
      </c>
      <c r="C13" s="35">
        <v>46322</v>
      </c>
      <c r="D13" s="18" t="s">
        <v>39</v>
      </c>
    </row>
    <row r="14" spans="1:4">
      <c r="A14" s="106" t="s">
        <v>29</v>
      </c>
      <c r="B14" s="108" t="s">
        <v>87</v>
      </c>
      <c r="C14" s="35">
        <v>46352</v>
      </c>
      <c r="D14" s="18" t="s">
        <v>39</v>
      </c>
    </row>
    <row r="15" spans="1:4">
      <c r="A15" s="106" t="s">
        <v>29</v>
      </c>
      <c r="B15" s="108" t="s">
        <v>87</v>
      </c>
      <c r="C15" s="35">
        <v>46367</v>
      </c>
      <c r="D15" s="18" t="s">
        <v>39</v>
      </c>
    </row>
    <row r="16" spans="1:4">
      <c r="A16" s="106" t="s">
        <v>29</v>
      </c>
      <c r="B16" s="107" t="s">
        <v>93</v>
      </c>
      <c r="C16" s="82">
        <v>46050</v>
      </c>
      <c r="D16" s="17" t="s">
        <v>64</v>
      </c>
    </row>
    <row r="17" spans="1:4">
      <c r="A17" s="106" t="s">
        <v>29</v>
      </c>
      <c r="B17" s="107" t="s">
        <v>93</v>
      </c>
      <c r="C17" s="35">
        <v>46078</v>
      </c>
      <c r="D17" s="18" t="s">
        <v>64</v>
      </c>
    </row>
    <row r="18" spans="1:4">
      <c r="A18" s="106" t="s">
        <v>29</v>
      </c>
      <c r="B18" s="107" t="s">
        <v>116</v>
      </c>
      <c r="C18" s="82">
        <v>46038</v>
      </c>
      <c r="D18" s="17" t="s">
        <v>39</v>
      </c>
    </row>
    <row r="19" spans="1:4">
      <c r="A19" s="106" t="s">
        <v>29</v>
      </c>
      <c r="B19" s="107" t="s">
        <v>116</v>
      </c>
      <c r="C19" s="35">
        <v>46056</v>
      </c>
      <c r="D19" s="18" t="s">
        <v>39</v>
      </c>
    </row>
    <row r="20" spans="1:4">
      <c r="A20" s="106" t="s">
        <v>29</v>
      </c>
      <c r="B20" s="107" t="s">
        <v>116</v>
      </c>
      <c r="C20" s="35">
        <v>46084</v>
      </c>
      <c r="D20" s="18" t="s">
        <v>39</v>
      </c>
    </row>
    <row r="21" spans="1:4">
      <c r="A21" s="106" t="s">
        <v>29</v>
      </c>
      <c r="B21" s="107" t="s">
        <v>116</v>
      </c>
      <c r="C21" s="35">
        <v>46115</v>
      </c>
      <c r="D21" s="18" t="s">
        <v>39</v>
      </c>
    </row>
    <row r="22" spans="1:4">
      <c r="A22" s="106" t="s">
        <v>29</v>
      </c>
      <c r="B22" s="107" t="s">
        <v>116</v>
      </c>
      <c r="C22" s="35">
        <v>46145</v>
      </c>
      <c r="D22" s="18" t="s">
        <v>39</v>
      </c>
    </row>
    <row r="23" spans="1:4">
      <c r="A23" s="106" t="s">
        <v>29</v>
      </c>
      <c r="B23" s="107" t="s">
        <v>116</v>
      </c>
      <c r="C23" s="35">
        <v>46176</v>
      </c>
      <c r="D23" s="18" t="s">
        <v>39</v>
      </c>
    </row>
    <row r="24" spans="1:4">
      <c r="A24" s="106" t="s">
        <v>29</v>
      </c>
      <c r="B24" s="107" t="s">
        <v>116</v>
      </c>
      <c r="C24" s="35">
        <v>46206</v>
      </c>
      <c r="D24" s="18" t="s">
        <v>39</v>
      </c>
    </row>
    <row r="25" spans="1:4">
      <c r="A25" s="106" t="s">
        <v>29</v>
      </c>
      <c r="B25" s="107" t="s">
        <v>116</v>
      </c>
      <c r="C25" s="35">
        <v>46237</v>
      </c>
      <c r="D25" s="18" t="s">
        <v>39</v>
      </c>
    </row>
    <row r="26" spans="1:4">
      <c r="A26" s="106" t="s">
        <v>29</v>
      </c>
      <c r="B26" s="107" t="s">
        <v>116</v>
      </c>
      <c r="C26" s="35">
        <v>46268</v>
      </c>
      <c r="D26" s="18" t="s">
        <v>39</v>
      </c>
    </row>
    <row r="27" spans="1:4">
      <c r="A27" s="106" t="s">
        <v>29</v>
      </c>
      <c r="B27" s="107" t="s">
        <v>116</v>
      </c>
      <c r="C27" s="35">
        <v>46298</v>
      </c>
      <c r="D27" s="18" t="s">
        <v>39</v>
      </c>
    </row>
    <row r="28" spans="1:4">
      <c r="A28" s="106" t="s">
        <v>29</v>
      </c>
      <c r="B28" s="107" t="s">
        <v>116</v>
      </c>
      <c r="C28" s="35">
        <v>46329</v>
      </c>
      <c r="D28" s="18" t="s">
        <v>39</v>
      </c>
    </row>
    <row r="29" spans="1:4">
      <c r="A29" s="106" t="s">
        <v>29</v>
      </c>
      <c r="B29" s="107" t="s">
        <v>116</v>
      </c>
      <c r="C29" s="35">
        <v>46359</v>
      </c>
      <c r="D29" s="18" t="s">
        <v>39</v>
      </c>
    </row>
    <row r="30" spans="1:4">
      <c r="A30" s="106" t="s">
        <v>17</v>
      </c>
      <c r="B30" s="107" t="s">
        <v>99</v>
      </c>
      <c r="C30" s="82">
        <v>46052</v>
      </c>
      <c r="D30" s="17" t="s">
        <v>64</v>
      </c>
    </row>
    <row r="31" spans="1:4">
      <c r="A31" s="106" t="s">
        <v>17</v>
      </c>
      <c r="B31" s="108" t="s">
        <v>103</v>
      </c>
      <c r="C31" s="35">
        <v>46079</v>
      </c>
      <c r="D31" s="18" t="s">
        <v>64</v>
      </c>
    </row>
    <row r="32" spans="1:4">
      <c r="A32" s="106" t="s">
        <v>17</v>
      </c>
      <c r="B32" s="108" t="s">
        <v>126</v>
      </c>
      <c r="C32" s="109">
        <v>46079</v>
      </c>
      <c r="D32" s="18" t="s">
        <v>64</v>
      </c>
    </row>
    <row r="33" spans="1:4">
      <c r="A33" s="106" t="s">
        <v>17</v>
      </c>
      <c r="B33" s="108" t="s">
        <v>126</v>
      </c>
      <c r="C33" s="35">
        <v>46101</v>
      </c>
      <c r="D33" s="18" t="s">
        <v>64</v>
      </c>
    </row>
    <row r="34" spans="1:4">
      <c r="A34" s="106" t="s">
        <v>17</v>
      </c>
      <c r="B34" s="108" t="s">
        <v>126</v>
      </c>
      <c r="C34" s="35">
        <v>46136</v>
      </c>
      <c r="D34" s="18" t="s">
        <v>39</v>
      </c>
    </row>
    <row r="35" spans="1:4">
      <c r="A35" s="106" t="s">
        <v>17</v>
      </c>
      <c r="B35" s="108" t="s">
        <v>126</v>
      </c>
      <c r="C35" s="35">
        <v>46166</v>
      </c>
      <c r="D35" s="18" t="s">
        <v>39</v>
      </c>
    </row>
    <row r="36" spans="1:4">
      <c r="A36" s="106" t="s">
        <v>17</v>
      </c>
      <c r="B36" s="108" t="s">
        <v>126</v>
      </c>
      <c r="C36" s="35">
        <v>46196</v>
      </c>
      <c r="D36" s="18" t="s">
        <v>39</v>
      </c>
    </row>
    <row r="37" spans="1:4">
      <c r="A37" s="106" t="s">
        <v>17</v>
      </c>
      <c r="B37" s="108" t="s">
        <v>126</v>
      </c>
      <c r="C37" s="35">
        <v>46226</v>
      </c>
      <c r="D37" s="18" t="s">
        <v>39</v>
      </c>
    </row>
    <row r="38" spans="1:4">
      <c r="A38" s="106" t="s">
        <v>17</v>
      </c>
      <c r="B38" s="108" t="s">
        <v>126</v>
      </c>
      <c r="C38" s="35">
        <v>46256</v>
      </c>
      <c r="D38" s="18" t="s">
        <v>39</v>
      </c>
    </row>
    <row r="39" spans="1:4">
      <c r="A39" s="106" t="s">
        <v>17</v>
      </c>
      <c r="B39" s="108" t="s">
        <v>126</v>
      </c>
      <c r="C39" s="35">
        <v>46286</v>
      </c>
      <c r="D39" s="18" t="s">
        <v>39</v>
      </c>
    </row>
    <row r="40" spans="1:4">
      <c r="A40" s="106" t="s">
        <v>17</v>
      </c>
      <c r="B40" s="108" t="s">
        <v>126</v>
      </c>
      <c r="C40" s="35">
        <v>46316</v>
      </c>
      <c r="D40" s="18" t="s">
        <v>39</v>
      </c>
    </row>
    <row r="41" spans="1:4">
      <c r="A41" s="106" t="s">
        <v>17</v>
      </c>
      <c r="B41" s="108" t="s">
        <v>126</v>
      </c>
      <c r="C41" s="35">
        <v>46346</v>
      </c>
      <c r="D41" s="18" t="s">
        <v>39</v>
      </c>
    </row>
    <row r="42" spans="1:4">
      <c r="A42" s="106" t="s">
        <v>17</v>
      </c>
      <c r="B42" s="108" t="s">
        <v>126</v>
      </c>
      <c r="C42" s="35">
        <v>46376</v>
      </c>
      <c r="D42" s="18" t="s">
        <v>39</v>
      </c>
    </row>
    <row r="43" spans="1:4">
      <c r="A43" s="106" t="s">
        <v>17</v>
      </c>
      <c r="B43" s="107" t="s">
        <v>88</v>
      </c>
      <c r="C43" s="82">
        <v>46045</v>
      </c>
      <c r="D43" s="17" t="s">
        <v>64</v>
      </c>
    </row>
    <row r="44" spans="1:4">
      <c r="A44" s="106" t="s">
        <v>17</v>
      </c>
      <c r="B44" s="107" t="s">
        <v>22</v>
      </c>
      <c r="C44" s="35">
        <v>46127</v>
      </c>
      <c r="D44" s="18" t="s">
        <v>39</v>
      </c>
    </row>
    <row r="45" spans="1:4">
      <c r="A45" s="106" t="s">
        <v>17</v>
      </c>
      <c r="B45" s="107" t="s">
        <v>22</v>
      </c>
      <c r="C45" s="35">
        <v>46247</v>
      </c>
      <c r="D45" s="18" t="s">
        <v>39</v>
      </c>
    </row>
    <row r="46" spans="1:4">
      <c r="A46" s="106" t="s">
        <v>17</v>
      </c>
      <c r="B46" s="107" t="s">
        <v>22</v>
      </c>
      <c r="C46" s="35">
        <v>46367</v>
      </c>
      <c r="D46" s="18" t="s">
        <v>39</v>
      </c>
    </row>
    <row r="47" spans="1:4">
      <c r="A47" s="106" t="s">
        <v>17</v>
      </c>
      <c r="B47" s="107" t="s">
        <v>20</v>
      </c>
      <c r="C47" s="82">
        <v>46028</v>
      </c>
      <c r="D47" s="17" t="s">
        <v>39</v>
      </c>
    </row>
    <row r="48" spans="1:4">
      <c r="A48" s="106" t="s">
        <v>17</v>
      </c>
      <c r="B48" s="107" t="s">
        <v>19</v>
      </c>
      <c r="C48" s="35">
        <v>46079</v>
      </c>
      <c r="D48" s="18" t="s">
        <v>64</v>
      </c>
    </row>
    <row r="49" spans="1:4">
      <c r="A49" s="106" t="s">
        <v>17</v>
      </c>
      <c r="B49" s="107" t="s">
        <v>3</v>
      </c>
      <c r="C49" s="35">
        <v>46028</v>
      </c>
      <c r="D49" s="17" t="s">
        <v>39</v>
      </c>
    </row>
    <row r="50" spans="1:4">
      <c r="A50" s="106" t="s">
        <v>17</v>
      </c>
      <c r="B50" s="107" t="s">
        <v>18</v>
      </c>
      <c r="C50" s="109">
        <v>46028</v>
      </c>
      <c r="D50" s="17" t="s">
        <v>39</v>
      </c>
    </row>
    <row r="51" spans="1:4">
      <c r="A51" s="106" t="s">
        <v>17</v>
      </c>
      <c r="B51" s="107" t="s">
        <v>21</v>
      </c>
      <c r="C51" s="109">
        <v>46028</v>
      </c>
      <c r="D51" s="17" t="s">
        <v>39</v>
      </c>
    </row>
    <row r="52" spans="1:4">
      <c r="A52" s="106" t="s">
        <v>17</v>
      </c>
      <c r="B52" s="108" t="s">
        <v>87</v>
      </c>
      <c r="C52" s="35">
        <v>46106</v>
      </c>
      <c r="D52" s="18" t="s">
        <v>39</v>
      </c>
    </row>
    <row r="53" spans="1:4">
      <c r="A53" s="106" t="s">
        <v>17</v>
      </c>
      <c r="B53" s="108" t="s">
        <v>87</v>
      </c>
      <c r="C53" s="35">
        <v>46113</v>
      </c>
      <c r="D53" s="18" t="s">
        <v>39</v>
      </c>
    </row>
    <row r="54" spans="1:4">
      <c r="A54" s="106" t="s">
        <v>17</v>
      </c>
      <c r="B54" s="108" t="s">
        <v>87</v>
      </c>
      <c r="C54" s="35">
        <v>46120</v>
      </c>
      <c r="D54" s="18" t="s">
        <v>39</v>
      </c>
    </row>
    <row r="55" spans="1:4">
      <c r="A55" s="106" t="s">
        <v>17</v>
      </c>
      <c r="B55" s="108" t="s">
        <v>87</v>
      </c>
      <c r="C55" s="35">
        <v>46127</v>
      </c>
      <c r="D55" s="18" t="s">
        <v>39</v>
      </c>
    </row>
    <row r="56" spans="1:4">
      <c r="A56" s="106" t="s">
        <v>17</v>
      </c>
      <c r="B56" s="108" t="s">
        <v>87</v>
      </c>
      <c r="C56" s="35">
        <v>46134</v>
      </c>
      <c r="D56" s="18" t="s">
        <v>39</v>
      </c>
    </row>
    <row r="57" spans="1:4">
      <c r="A57" s="106" t="s">
        <v>17</v>
      </c>
      <c r="B57" s="108" t="s">
        <v>87</v>
      </c>
      <c r="C57" s="35">
        <v>46141</v>
      </c>
      <c r="D57" s="18" t="s">
        <v>39</v>
      </c>
    </row>
    <row r="58" spans="1:4">
      <c r="A58" s="106" t="s">
        <v>17</v>
      </c>
      <c r="B58" s="108" t="s">
        <v>87</v>
      </c>
      <c r="C58" s="35">
        <v>46148</v>
      </c>
      <c r="D58" s="18" t="s">
        <v>39</v>
      </c>
    </row>
    <row r="59" spans="1:4">
      <c r="A59" s="106" t="s">
        <v>17</v>
      </c>
      <c r="B59" s="108" t="s">
        <v>87</v>
      </c>
      <c r="C59" s="35">
        <v>46155</v>
      </c>
      <c r="D59" s="18" t="s">
        <v>39</v>
      </c>
    </row>
    <row r="60" spans="1:4">
      <c r="A60" s="106" t="s">
        <v>17</v>
      </c>
      <c r="B60" s="108" t="s">
        <v>87</v>
      </c>
      <c r="C60" s="35">
        <v>46162</v>
      </c>
      <c r="D60" s="18" t="s">
        <v>39</v>
      </c>
    </row>
    <row r="61" spans="1:4">
      <c r="A61" s="106" t="s">
        <v>17</v>
      </c>
      <c r="B61" s="108" t="s">
        <v>87</v>
      </c>
      <c r="C61" s="35">
        <v>46169</v>
      </c>
      <c r="D61" s="18" t="s">
        <v>39</v>
      </c>
    </row>
    <row r="62" spans="1:4">
      <c r="A62" s="106" t="s">
        <v>17</v>
      </c>
      <c r="B62" s="108" t="s">
        <v>87</v>
      </c>
      <c r="C62" s="35">
        <v>46176</v>
      </c>
      <c r="D62" s="18" t="s">
        <v>39</v>
      </c>
    </row>
    <row r="63" spans="1:4">
      <c r="A63" s="106" t="s">
        <v>17</v>
      </c>
      <c r="B63" s="108" t="s">
        <v>87</v>
      </c>
      <c r="C63" s="35">
        <v>46183</v>
      </c>
      <c r="D63" s="18" t="s">
        <v>39</v>
      </c>
    </row>
    <row r="64" spans="1:4">
      <c r="A64" s="106" t="s">
        <v>17</v>
      </c>
      <c r="B64" s="108" t="s">
        <v>87</v>
      </c>
      <c r="C64" s="35">
        <v>46190</v>
      </c>
      <c r="D64" s="18" t="s">
        <v>39</v>
      </c>
    </row>
    <row r="65" spans="1:4">
      <c r="A65" s="106" t="s">
        <v>17</v>
      </c>
      <c r="B65" s="108" t="s">
        <v>87</v>
      </c>
      <c r="C65" s="35">
        <v>46197</v>
      </c>
      <c r="D65" s="18" t="s">
        <v>39</v>
      </c>
    </row>
    <row r="66" spans="1:4">
      <c r="A66" s="106" t="s">
        <v>17</v>
      </c>
      <c r="B66" s="108" t="s">
        <v>87</v>
      </c>
      <c r="C66" s="35">
        <v>46204</v>
      </c>
      <c r="D66" s="18" t="s">
        <v>39</v>
      </c>
    </row>
    <row r="67" spans="1:4">
      <c r="A67" s="106" t="s">
        <v>17</v>
      </c>
      <c r="B67" s="108" t="s">
        <v>87</v>
      </c>
      <c r="C67" s="35">
        <v>46211</v>
      </c>
      <c r="D67" s="18" t="s">
        <v>39</v>
      </c>
    </row>
    <row r="68" spans="1:4">
      <c r="A68" s="106" t="s">
        <v>17</v>
      </c>
      <c r="B68" s="108" t="s">
        <v>87</v>
      </c>
      <c r="C68" s="35">
        <v>46218</v>
      </c>
      <c r="D68" s="18" t="s">
        <v>39</v>
      </c>
    </row>
    <row r="69" spans="1:4">
      <c r="A69" s="106" t="s">
        <v>17</v>
      </c>
      <c r="B69" s="108" t="s">
        <v>87</v>
      </c>
      <c r="C69" s="35">
        <v>46225</v>
      </c>
      <c r="D69" s="18" t="s">
        <v>39</v>
      </c>
    </row>
    <row r="70" spans="1:4">
      <c r="A70" s="106" t="s">
        <v>17</v>
      </c>
      <c r="B70" s="108" t="s">
        <v>87</v>
      </c>
      <c r="C70" s="35">
        <v>46232</v>
      </c>
      <c r="D70" s="18" t="s">
        <v>39</v>
      </c>
    </row>
    <row r="71" spans="1:4">
      <c r="A71" s="106" t="s">
        <v>17</v>
      </c>
      <c r="B71" s="108" t="s">
        <v>87</v>
      </c>
      <c r="C71" s="35">
        <v>46239</v>
      </c>
      <c r="D71" s="18" t="s">
        <v>39</v>
      </c>
    </row>
    <row r="72" spans="1:4">
      <c r="A72" s="106" t="s">
        <v>17</v>
      </c>
      <c r="B72" s="108" t="s">
        <v>87</v>
      </c>
      <c r="C72" s="35">
        <v>46246</v>
      </c>
      <c r="D72" s="18" t="s">
        <v>39</v>
      </c>
    </row>
    <row r="73" spans="1:4">
      <c r="A73" s="106" t="s">
        <v>17</v>
      </c>
      <c r="B73" s="108" t="s">
        <v>87</v>
      </c>
      <c r="C73" s="35">
        <v>46253</v>
      </c>
      <c r="D73" s="18" t="s">
        <v>39</v>
      </c>
    </row>
    <row r="74" spans="1:4">
      <c r="A74" s="106" t="s">
        <v>17</v>
      </c>
      <c r="B74" s="108" t="s">
        <v>87</v>
      </c>
      <c r="C74" s="35">
        <v>46260</v>
      </c>
      <c r="D74" s="18" t="s">
        <v>39</v>
      </c>
    </row>
    <row r="75" spans="1:4">
      <c r="A75" s="106" t="s">
        <v>17</v>
      </c>
      <c r="B75" s="108" t="s">
        <v>87</v>
      </c>
      <c r="C75" s="35">
        <v>46267</v>
      </c>
      <c r="D75" s="18" t="s">
        <v>39</v>
      </c>
    </row>
    <row r="76" spans="1:4">
      <c r="A76" s="106" t="s">
        <v>17</v>
      </c>
      <c r="B76" s="108" t="s">
        <v>87</v>
      </c>
      <c r="C76" s="35">
        <v>46274</v>
      </c>
      <c r="D76" s="18" t="s">
        <v>39</v>
      </c>
    </row>
    <row r="77" spans="1:4">
      <c r="A77" s="106" t="s">
        <v>17</v>
      </c>
      <c r="B77" s="108" t="s">
        <v>87</v>
      </c>
      <c r="C77" s="35">
        <v>46281</v>
      </c>
      <c r="D77" s="18" t="s">
        <v>39</v>
      </c>
    </row>
    <row r="78" spans="1:4">
      <c r="A78" s="106" t="s">
        <v>17</v>
      </c>
      <c r="B78" s="108" t="s">
        <v>87</v>
      </c>
      <c r="C78" s="35">
        <v>46288</v>
      </c>
      <c r="D78" s="18" t="s">
        <v>39</v>
      </c>
    </row>
    <row r="79" spans="1:4">
      <c r="A79" s="106" t="s">
        <v>17</v>
      </c>
      <c r="B79" s="108" t="s">
        <v>87</v>
      </c>
      <c r="C79" s="35">
        <v>46295</v>
      </c>
      <c r="D79" s="18" t="s">
        <v>39</v>
      </c>
    </row>
    <row r="80" spans="1:4">
      <c r="A80" s="106" t="s">
        <v>17</v>
      </c>
      <c r="B80" s="108" t="s">
        <v>87</v>
      </c>
      <c r="C80" s="35">
        <v>46302</v>
      </c>
      <c r="D80" s="18" t="s">
        <v>39</v>
      </c>
    </row>
    <row r="81" spans="1:4">
      <c r="A81" s="106" t="s">
        <v>17</v>
      </c>
      <c r="B81" s="108" t="s">
        <v>87</v>
      </c>
      <c r="C81" s="35">
        <v>46309</v>
      </c>
      <c r="D81" s="18" t="s">
        <v>39</v>
      </c>
    </row>
    <row r="82" spans="1:4">
      <c r="A82" s="106" t="s">
        <v>17</v>
      </c>
      <c r="B82" s="108" t="s">
        <v>87</v>
      </c>
      <c r="C82" s="35">
        <v>46316</v>
      </c>
      <c r="D82" s="18" t="s">
        <v>39</v>
      </c>
    </row>
    <row r="83" spans="1:4">
      <c r="A83" s="106" t="s">
        <v>17</v>
      </c>
      <c r="B83" s="108" t="s">
        <v>87</v>
      </c>
      <c r="C83" s="35">
        <v>46323</v>
      </c>
      <c r="D83" s="18" t="s">
        <v>39</v>
      </c>
    </row>
    <row r="84" spans="1:4">
      <c r="A84" s="106" t="s">
        <v>17</v>
      </c>
      <c r="B84" s="108" t="s">
        <v>87</v>
      </c>
      <c r="C84" s="35">
        <v>46330</v>
      </c>
      <c r="D84" s="18" t="s">
        <v>39</v>
      </c>
    </row>
    <row r="85" spans="1:4">
      <c r="A85" s="106" t="s">
        <v>17</v>
      </c>
      <c r="B85" s="108" t="s">
        <v>87</v>
      </c>
      <c r="C85" s="35">
        <v>46337</v>
      </c>
      <c r="D85" s="18" t="s">
        <v>39</v>
      </c>
    </row>
    <row r="86" spans="1:4">
      <c r="A86" s="106" t="s">
        <v>17</v>
      </c>
      <c r="B86" s="108" t="s">
        <v>87</v>
      </c>
      <c r="C86" s="35">
        <v>46344</v>
      </c>
      <c r="D86" s="18" t="s">
        <v>39</v>
      </c>
    </row>
    <row r="87" spans="1:4">
      <c r="A87" s="106" t="s">
        <v>17</v>
      </c>
      <c r="B87" s="108" t="s">
        <v>87</v>
      </c>
      <c r="C87" s="35">
        <v>46351</v>
      </c>
      <c r="D87" s="18" t="s">
        <v>39</v>
      </c>
    </row>
    <row r="88" spans="1:4">
      <c r="A88" s="106" t="s">
        <v>17</v>
      </c>
      <c r="B88" s="108" t="s">
        <v>87</v>
      </c>
      <c r="C88" s="35">
        <v>46358</v>
      </c>
      <c r="D88" s="18" t="s">
        <v>39</v>
      </c>
    </row>
    <row r="89" spans="1:4">
      <c r="A89" s="106" t="s">
        <v>17</v>
      </c>
      <c r="B89" s="108" t="s">
        <v>87</v>
      </c>
      <c r="C89" s="35">
        <v>46365</v>
      </c>
      <c r="D89" s="18" t="s">
        <v>39</v>
      </c>
    </row>
    <row r="90" spans="1:4">
      <c r="A90" s="106" t="s">
        <v>17</v>
      </c>
      <c r="B90" s="108" t="s">
        <v>87</v>
      </c>
      <c r="C90" s="35">
        <v>46372</v>
      </c>
      <c r="D90" s="18" t="s">
        <v>39</v>
      </c>
    </row>
    <row r="91" spans="1:4">
      <c r="A91" s="106" t="s">
        <v>17</v>
      </c>
      <c r="B91" s="108" t="s">
        <v>110</v>
      </c>
      <c r="C91" s="35">
        <v>46093</v>
      </c>
      <c r="D91" s="18" t="s">
        <v>64</v>
      </c>
    </row>
    <row r="92" spans="1:4">
      <c r="A92" s="106" t="s">
        <v>17</v>
      </c>
      <c r="B92" s="107" t="s">
        <v>94</v>
      </c>
      <c r="C92" s="82">
        <v>46050</v>
      </c>
      <c r="D92" s="17" t="s">
        <v>64</v>
      </c>
    </row>
    <row r="93" spans="1:4">
      <c r="A93" s="106" t="s">
        <v>17</v>
      </c>
      <c r="B93" s="108" t="s">
        <v>107</v>
      </c>
      <c r="C93" s="35">
        <v>46084</v>
      </c>
      <c r="D93" s="18" t="s">
        <v>64</v>
      </c>
    </row>
    <row r="94" spans="1:4">
      <c r="A94" s="106" t="s">
        <v>17</v>
      </c>
      <c r="B94" s="108" t="s">
        <v>102</v>
      </c>
      <c r="C94" s="35">
        <v>46078</v>
      </c>
      <c r="D94" s="18" t="s">
        <v>64</v>
      </c>
    </row>
    <row r="95" spans="1:4">
      <c r="A95" s="106" t="s">
        <v>23</v>
      </c>
      <c r="B95" s="107" t="s">
        <v>87</v>
      </c>
      <c r="C95" s="82">
        <v>46041</v>
      </c>
      <c r="D95" s="17" t="s">
        <v>64</v>
      </c>
    </row>
    <row r="96" spans="1:4">
      <c r="A96" s="106" t="s">
        <v>23</v>
      </c>
      <c r="B96" s="107" t="s">
        <v>87</v>
      </c>
      <c r="C96" s="82">
        <v>46048</v>
      </c>
      <c r="D96" s="17" t="s">
        <v>64</v>
      </c>
    </row>
    <row r="97" spans="1:4">
      <c r="A97" s="106" t="s">
        <v>1</v>
      </c>
      <c r="B97" s="107" t="s">
        <v>95</v>
      </c>
      <c r="C97" s="82">
        <v>46050</v>
      </c>
      <c r="D97" s="17" t="s">
        <v>64</v>
      </c>
    </row>
    <row r="98" spans="1:4">
      <c r="A98" s="106" t="s">
        <v>1</v>
      </c>
      <c r="B98" s="107" t="s">
        <v>90</v>
      </c>
      <c r="C98" s="82">
        <v>46049</v>
      </c>
      <c r="D98" s="17" t="s">
        <v>64</v>
      </c>
    </row>
    <row r="99" spans="1:4">
      <c r="A99" s="106" t="s">
        <v>1</v>
      </c>
      <c r="B99" s="108" t="s">
        <v>104</v>
      </c>
      <c r="C99" s="35">
        <v>46079</v>
      </c>
      <c r="D99" s="18" t="s">
        <v>64</v>
      </c>
    </row>
    <row r="100" spans="1:4">
      <c r="A100" s="106" t="s">
        <v>1</v>
      </c>
      <c r="B100" s="107" t="s">
        <v>97</v>
      </c>
      <c r="C100" s="82">
        <v>46052</v>
      </c>
      <c r="D100" s="17" t="s">
        <v>64</v>
      </c>
    </row>
    <row r="101" spans="1:4">
      <c r="A101" s="106" t="s">
        <v>1</v>
      </c>
      <c r="B101" s="108" t="s">
        <v>101</v>
      </c>
      <c r="C101" s="35">
        <v>46077</v>
      </c>
      <c r="D101" s="18" t="s">
        <v>64</v>
      </c>
    </row>
    <row r="102" spans="1:4">
      <c r="A102" s="106" t="s">
        <v>1</v>
      </c>
      <c r="B102" s="108" t="s">
        <v>129</v>
      </c>
      <c r="C102" s="35">
        <v>46105</v>
      </c>
      <c r="D102" s="18" t="s">
        <v>64</v>
      </c>
    </row>
    <row r="103" spans="1:4">
      <c r="A103" s="106" t="s">
        <v>1</v>
      </c>
      <c r="B103" s="107" t="s">
        <v>98</v>
      </c>
      <c r="C103" s="35">
        <v>46052</v>
      </c>
      <c r="D103" s="17" t="s">
        <v>64</v>
      </c>
    </row>
    <row r="104" spans="1:4">
      <c r="A104" s="106" t="s">
        <v>1</v>
      </c>
      <c r="B104" s="108" t="s">
        <v>105</v>
      </c>
      <c r="C104" s="35">
        <v>46081</v>
      </c>
      <c r="D104" s="18" t="s">
        <v>64</v>
      </c>
    </row>
    <row r="105" spans="1:4">
      <c r="A105" s="106" t="s">
        <v>1</v>
      </c>
      <c r="B105" s="107" t="s">
        <v>89</v>
      </c>
      <c r="C105" s="82">
        <v>46049</v>
      </c>
      <c r="D105" s="17" t="s">
        <v>64</v>
      </c>
    </row>
    <row r="106" spans="1:4">
      <c r="A106" s="106" t="s">
        <v>1</v>
      </c>
      <c r="B106" s="107" t="s">
        <v>92</v>
      </c>
      <c r="C106" s="82">
        <v>46050</v>
      </c>
      <c r="D106" s="17" t="s">
        <v>64</v>
      </c>
    </row>
    <row r="107" spans="1:4">
      <c r="A107" s="106" t="s">
        <v>1</v>
      </c>
      <c r="B107" s="107" t="s">
        <v>96</v>
      </c>
      <c r="C107" s="82">
        <v>46052</v>
      </c>
      <c r="D107" s="17" t="s">
        <v>64</v>
      </c>
    </row>
    <row r="108" spans="1:4">
      <c r="A108" s="106" t="s">
        <v>1</v>
      </c>
      <c r="B108" s="107" t="s">
        <v>91</v>
      </c>
      <c r="C108" s="82">
        <v>46050</v>
      </c>
      <c r="D108" s="17" t="s">
        <v>64</v>
      </c>
    </row>
    <row r="109" spans="1:4">
      <c r="A109" s="106" t="s">
        <v>1</v>
      </c>
      <c r="B109" s="107" t="s">
        <v>85</v>
      </c>
      <c r="C109" s="82">
        <v>46038</v>
      </c>
      <c r="D109" s="17" t="s">
        <v>64</v>
      </c>
    </row>
    <row r="110" spans="1:4">
      <c r="A110" s="106" t="s">
        <v>1</v>
      </c>
      <c r="B110" s="108" t="s">
        <v>87</v>
      </c>
      <c r="C110" s="35">
        <v>46105</v>
      </c>
      <c r="D110" s="18" t="s">
        <v>64</v>
      </c>
    </row>
    <row r="111" spans="1:4">
      <c r="A111" s="106" t="s">
        <v>1</v>
      </c>
      <c r="B111" s="108" t="s">
        <v>87</v>
      </c>
      <c r="C111" s="35">
        <v>46148</v>
      </c>
      <c r="D111" s="18" t="s">
        <v>39</v>
      </c>
    </row>
    <row r="112" spans="1:4">
      <c r="A112" s="106" t="s">
        <v>1</v>
      </c>
      <c r="B112" s="108" t="s">
        <v>87</v>
      </c>
      <c r="C112" s="35">
        <v>46268</v>
      </c>
      <c r="D112" s="18" t="s">
        <v>39</v>
      </c>
    </row>
    <row r="113" spans="1:4">
      <c r="A113" s="106" t="s">
        <v>1</v>
      </c>
      <c r="B113" s="108" t="s">
        <v>87</v>
      </c>
      <c r="C113" s="35">
        <v>46208</v>
      </c>
      <c r="D113" s="18" t="s">
        <v>39</v>
      </c>
    </row>
    <row r="114" spans="1:4">
      <c r="A114" s="106" t="s">
        <v>1</v>
      </c>
      <c r="B114" s="108" t="s">
        <v>87</v>
      </c>
      <c r="C114" s="35">
        <v>46328</v>
      </c>
      <c r="D114" s="18" t="s">
        <v>39</v>
      </c>
    </row>
    <row r="115" spans="1:4">
      <c r="A115" s="106" t="s">
        <v>1</v>
      </c>
      <c r="B115" s="107" t="s">
        <v>11</v>
      </c>
      <c r="C115" s="82">
        <v>46028</v>
      </c>
      <c r="D115" s="17" t="s">
        <v>39</v>
      </c>
    </row>
    <row r="116" spans="1:4">
      <c r="A116" s="106" t="s">
        <v>1</v>
      </c>
      <c r="B116" s="107" t="s">
        <v>11</v>
      </c>
      <c r="C116" s="35">
        <v>46148</v>
      </c>
      <c r="D116" s="18" t="s">
        <v>39</v>
      </c>
    </row>
    <row r="117" spans="1:4">
      <c r="A117" s="106" t="s">
        <v>1</v>
      </c>
      <c r="B117" s="107" t="s">
        <v>11</v>
      </c>
      <c r="C117" s="35">
        <v>46268</v>
      </c>
      <c r="D117" s="18" t="s">
        <v>39</v>
      </c>
    </row>
    <row r="118" spans="1:4">
      <c r="A118" s="106" t="s">
        <v>1</v>
      </c>
      <c r="B118" s="107" t="s">
        <v>11</v>
      </c>
      <c r="C118" s="35">
        <v>46298</v>
      </c>
      <c r="D118" s="18" t="s">
        <v>39</v>
      </c>
    </row>
    <row r="119" spans="1:4">
      <c r="A119" s="106" t="s">
        <v>1</v>
      </c>
      <c r="B119" s="107" t="s">
        <v>11</v>
      </c>
      <c r="C119" s="35">
        <v>46358</v>
      </c>
      <c r="D119" s="18" t="s">
        <v>39</v>
      </c>
    </row>
    <row r="120" spans="1:4">
      <c r="A120" s="106" t="s">
        <v>1</v>
      </c>
      <c r="B120" s="107" t="s">
        <v>11</v>
      </c>
      <c r="C120" s="35">
        <v>46238</v>
      </c>
      <c r="D120" s="18" t="s">
        <v>39</v>
      </c>
    </row>
    <row r="121" spans="1:4">
      <c r="A121" s="106" t="s">
        <v>1</v>
      </c>
      <c r="B121" s="107" t="s">
        <v>11</v>
      </c>
      <c r="C121" s="35">
        <v>46208</v>
      </c>
      <c r="D121" s="18" t="s">
        <v>39</v>
      </c>
    </row>
    <row r="122" spans="1:4">
      <c r="A122" s="106" t="s">
        <v>1</v>
      </c>
      <c r="B122" s="107" t="s">
        <v>11</v>
      </c>
      <c r="C122" s="35">
        <v>46328</v>
      </c>
      <c r="D122" s="18" t="s">
        <v>39</v>
      </c>
    </row>
    <row r="123" spans="1:4">
      <c r="A123" s="106" t="s">
        <v>1</v>
      </c>
      <c r="B123" s="107" t="s">
        <v>11</v>
      </c>
      <c r="C123" s="35">
        <v>46058</v>
      </c>
      <c r="D123" s="18" t="s">
        <v>39</v>
      </c>
    </row>
    <row r="124" spans="1:4">
      <c r="A124" s="106" t="s">
        <v>1</v>
      </c>
      <c r="B124" s="107" t="s">
        <v>11</v>
      </c>
      <c r="C124" s="35">
        <v>46088</v>
      </c>
      <c r="D124" s="18" t="s">
        <v>39</v>
      </c>
    </row>
    <row r="125" spans="1:4">
      <c r="A125" s="106" t="s">
        <v>1</v>
      </c>
      <c r="B125" s="107" t="s">
        <v>11</v>
      </c>
      <c r="C125" s="35">
        <v>46118</v>
      </c>
      <c r="D125" s="18" t="s">
        <v>39</v>
      </c>
    </row>
    <row r="126" spans="1:4">
      <c r="A126" s="106" t="s">
        <v>1</v>
      </c>
      <c r="B126" s="107" t="s">
        <v>11</v>
      </c>
      <c r="C126" s="35">
        <v>46178</v>
      </c>
      <c r="D126" s="18" t="s">
        <v>39</v>
      </c>
    </row>
    <row r="127" spans="1:4">
      <c r="A127" s="106" t="s">
        <v>1</v>
      </c>
      <c r="B127" s="107" t="s">
        <v>11</v>
      </c>
      <c r="C127" s="35">
        <v>46373</v>
      </c>
      <c r="D127" s="18" t="s">
        <v>39</v>
      </c>
    </row>
    <row r="128" spans="1:4">
      <c r="A128" s="106" t="s">
        <v>1</v>
      </c>
      <c r="B128" s="107" t="s">
        <v>6</v>
      </c>
      <c r="C128" s="35">
        <v>46120</v>
      </c>
      <c r="D128" s="18" t="s">
        <v>39</v>
      </c>
    </row>
    <row r="129" spans="1:4">
      <c r="A129" s="106" t="s">
        <v>1</v>
      </c>
      <c r="B129" s="107" t="s">
        <v>6</v>
      </c>
      <c r="C129" s="35">
        <v>46238</v>
      </c>
      <c r="D129" s="18" t="s">
        <v>39</v>
      </c>
    </row>
    <row r="130" spans="1:4">
      <c r="A130" s="106" t="s">
        <v>1</v>
      </c>
      <c r="B130" s="107" t="s">
        <v>6</v>
      </c>
      <c r="C130" s="35">
        <v>46357</v>
      </c>
      <c r="D130" s="18" t="s">
        <v>39</v>
      </c>
    </row>
    <row r="131" spans="1:4">
      <c r="A131" s="106" t="s">
        <v>1</v>
      </c>
      <c r="B131" s="107" t="s">
        <v>84</v>
      </c>
      <c r="C131" s="82">
        <v>46035</v>
      </c>
      <c r="D131" s="17" t="s">
        <v>64</v>
      </c>
    </row>
    <row r="132" spans="1:4">
      <c r="A132" s="106" t="s">
        <v>1</v>
      </c>
      <c r="B132" s="107" t="s">
        <v>86</v>
      </c>
      <c r="C132" s="82">
        <v>46038</v>
      </c>
      <c r="D132" s="17" t="s">
        <v>64</v>
      </c>
    </row>
    <row r="133" spans="1:4">
      <c r="A133" s="106" t="s">
        <v>1</v>
      </c>
      <c r="B133" s="108" t="s">
        <v>139</v>
      </c>
      <c r="C133" s="35">
        <v>46111</v>
      </c>
      <c r="D133" s="18" t="s">
        <v>64</v>
      </c>
    </row>
    <row r="134" spans="1:4">
      <c r="A134" s="106" t="s">
        <v>1</v>
      </c>
      <c r="B134" s="108" t="s">
        <v>141</v>
      </c>
      <c r="C134" s="35">
        <v>46120</v>
      </c>
      <c r="D134" s="18" t="s">
        <v>39</v>
      </c>
    </row>
    <row r="135" spans="1:4">
      <c r="A135" s="106" t="s">
        <v>1</v>
      </c>
      <c r="B135" s="108" t="s">
        <v>142</v>
      </c>
      <c r="C135" s="35">
        <v>46150</v>
      </c>
      <c r="D135" s="18" t="s">
        <v>39</v>
      </c>
    </row>
    <row r="136" spans="1:4">
      <c r="A136" s="106" t="s">
        <v>1</v>
      </c>
      <c r="B136" s="108" t="s">
        <v>143</v>
      </c>
      <c r="C136" s="35">
        <v>46180</v>
      </c>
      <c r="D136" s="18" t="s">
        <v>39</v>
      </c>
    </row>
    <row r="137" spans="1:4">
      <c r="A137" s="106" t="s">
        <v>1</v>
      </c>
      <c r="B137" s="108" t="s">
        <v>62</v>
      </c>
      <c r="C137" s="35">
        <v>46330</v>
      </c>
      <c r="D137" s="18" t="s">
        <v>39</v>
      </c>
    </row>
    <row r="138" spans="1:4">
      <c r="A138" s="106" t="s">
        <v>1</v>
      </c>
      <c r="B138" s="108" t="s">
        <v>62</v>
      </c>
      <c r="C138" s="35">
        <v>46210</v>
      </c>
      <c r="D138" s="18" t="s">
        <v>39</v>
      </c>
    </row>
    <row r="139" spans="1:4">
      <c r="A139" s="106" t="s">
        <v>1</v>
      </c>
      <c r="B139" s="108" t="s">
        <v>62</v>
      </c>
      <c r="C139" s="35">
        <v>46240</v>
      </c>
      <c r="D139" s="18" t="s">
        <v>39</v>
      </c>
    </row>
    <row r="140" spans="1:4">
      <c r="A140" s="106" t="s">
        <v>1</v>
      </c>
      <c r="B140" s="108" t="s">
        <v>62</v>
      </c>
      <c r="C140" s="35">
        <v>46270</v>
      </c>
      <c r="D140" s="18" t="s">
        <v>39</v>
      </c>
    </row>
    <row r="141" spans="1:4">
      <c r="A141" s="106" t="s">
        <v>1</v>
      </c>
      <c r="B141" s="108" t="s">
        <v>62</v>
      </c>
      <c r="C141" s="35">
        <v>46300</v>
      </c>
      <c r="D141" s="18" t="s">
        <v>39</v>
      </c>
    </row>
    <row r="142" spans="1:4">
      <c r="A142" s="106" t="s">
        <v>1</v>
      </c>
      <c r="B142" s="108" t="s">
        <v>62</v>
      </c>
      <c r="C142" s="35">
        <v>46360</v>
      </c>
      <c r="D142" s="18" t="s">
        <v>39</v>
      </c>
    </row>
    <row r="143" spans="1:4">
      <c r="A143" s="106" t="s">
        <v>1</v>
      </c>
      <c r="B143" s="108" t="s">
        <v>144</v>
      </c>
      <c r="C143" s="82">
        <v>46049</v>
      </c>
      <c r="D143" s="17" t="s">
        <v>64</v>
      </c>
    </row>
    <row r="144" spans="1:4">
      <c r="A144" s="108" t="s">
        <v>125</v>
      </c>
      <c r="B144" s="108" t="s">
        <v>108</v>
      </c>
      <c r="C144" s="35">
        <v>46084</v>
      </c>
      <c r="D144" s="18" t="s">
        <v>64</v>
      </c>
    </row>
    <row r="145" spans="1:4">
      <c r="A145" s="108" t="s">
        <v>125</v>
      </c>
      <c r="B145" s="108" t="s">
        <v>109</v>
      </c>
      <c r="C145" s="35">
        <v>46087</v>
      </c>
      <c r="D145" s="18" t="s">
        <v>64</v>
      </c>
    </row>
    <row r="146" spans="1:4">
      <c r="A146" s="108" t="s">
        <v>125</v>
      </c>
      <c r="B146" s="108" t="s">
        <v>111</v>
      </c>
      <c r="C146" s="35">
        <v>46100</v>
      </c>
      <c r="D146" s="18" t="s">
        <v>64</v>
      </c>
    </row>
    <row r="147" spans="1:4">
      <c r="A147" s="108" t="s">
        <v>125</v>
      </c>
      <c r="B147" s="108" t="s">
        <v>87</v>
      </c>
      <c r="C147" s="35">
        <v>46076</v>
      </c>
      <c r="D147" s="18" t="s">
        <v>64</v>
      </c>
    </row>
    <row r="148" spans="1:4">
      <c r="A148" s="108" t="s">
        <v>125</v>
      </c>
      <c r="B148" s="108" t="s">
        <v>87</v>
      </c>
      <c r="C148" s="35">
        <v>46083</v>
      </c>
      <c r="D148" s="18" t="s">
        <v>64</v>
      </c>
    </row>
    <row r="149" spans="1:4">
      <c r="A149" s="108" t="s">
        <v>125</v>
      </c>
      <c r="B149" s="108" t="s">
        <v>87</v>
      </c>
      <c r="C149" s="35">
        <v>46090</v>
      </c>
      <c r="D149" s="18" t="s">
        <v>64</v>
      </c>
    </row>
    <row r="150" spans="1:4">
      <c r="A150" s="108" t="s">
        <v>125</v>
      </c>
      <c r="B150" s="108" t="s">
        <v>87</v>
      </c>
      <c r="C150" s="35">
        <v>46099</v>
      </c>
      <c r="D150" s="18" t="s">
        <v>64</v>
      </c>
    </row>
    <row r="151" spans="1:4">
      <c r="A151" s="108" t="s">
        <v>125</v>
      </c>
      <c r="B151" s="108" t="s">
        <v>87</v>
      </c>
      <c r="C151" s="35">
        <v>46237</v>
      </c>
      <c r="D151" s="18" t="s">
        <v>39</v>
      </c>
    </row>
    <row r="152" spans="1:4">
      <c r="A152" s="108" t="s">
        <v>125</v>
      </c>
      <c r="B152" s="108" t="s">
        <v>87</v>
      </c>
      <c r="C152" s="35">
        <v>46111</v>
      </c>
      <c r="D152" s="18" t="s">
        <v>39</v>
      </c>
    </row>
    <row r="153" spans="1:4">
      <c r="A153" s="108" t="s">
        <v>125</v>
      </c>
      <c r="B153" s="108" t="s">
        <v>87</v>
      </c>
      <c r="C153" s="35">
        <v>46125</v>
      </c>
      <c r="D153" s="18" t="s">
        <v>39</v>
      </c>
    </row>
    <row r="154" spans="1:4">
      <c r="A154" s="108" t="s">
        <v>125</v>
      </c>
      <c r="B154" s="108" t="s">
        <v>87</v>
      </c>
      <c r="C154" s="35">
        <v>46139</v>
      </c>
      <c r="D154" s="18" t="s">
        <v>39</v>
      </c>
    </row>
    <row r="155" spans="1:4">
      <c r="A155" s="108" t="s">
        <v>125</v>
      </c>
      <c r="B155" s="108" t="s">
        <v>87</v>
      </c>
      <c r="C155" s="35">
        <v>46153</v>
      </c>
      <c r="D155" s="18" t="s">
        <v>39</v>
      </c>
    </row>
    <row r="156" spans="1:4">
      <c r="A156" s="108" t="s">
        <v>125</v>
      </c>
      <c r="B156" s="108" t="s">
        <v>87</v>
      </c>
      <c r="C156" s="35">
        <v>46167</v>
      </c>
      <c r="D156" s="18" t="s">
        <v>39</v>
      </c>
    </row>
    <row r="157" spans="1:4">
      <c r="A157" s="108" t="s">
        <v>125</v>
      </c>
      <c r="B157" s="108" t="s">
        <v>87</v>
      </c>
      <c r="C157" s="35">
        <v>46181</v>
      </c>
      <c r="D157" s="18" t="s">
        <v>39</v>
      </c>
    </row>
    <row r="158" spans="1:4">
      <c r="A158" s="108" t="s">
        <v>125</v>
      </c>
      <c r="B158" s="108" t="s">
        <v>87</v>
      </c>
      <c r="C158" s="35">
        <v>46195</v>
      </c>
      <c r="D158" s="18" t="s">
        <v>39</v>
      </c>
    </row>
    <row r="159" spans="1:4">
      <c r="A159" s="108" t="s">
        <v>125</v>
      </c>
      <c r="B159" s="108" t="s">
        <v>87</v>
      </c>
      <c r="C159" s="35">
        <v>46209</v>
      </c>
      <c r="D159" s="18" t="s">
        <v>39</v>
      </c>
    </row>
    <row r="160" spans="1:4">
      <c r="A160" s="108" t="s">
        <v>125</v>
      </c>
      <c r="B160" s="108" t="s">
        <v>87</v>
      </c>
      <c r="C160" s="35">
        <v>46223</v>
      </c>
      <c r="D160" s="18" t="s">
        <v>39</v>
      </c>
    </row>
    <row r="161" spans="1:4">
      <c r="A161" s="108" t="s">
        <v>125</v>
      </c>
      <c r="B161" s="108" t="s">
        <v>87</v>
      </c>
      <c r="C161" s="35">
        <v>46251</v>
      </c>
      <c r="D161" s="18" t="s">
        <v>39</v>
      </c>
    </row>
    <row r="162" spans="1:4">
      <c r="A162" s="108" t="s">
        <v>125</v>
      </c>
      <c r="B162" s="108" t="s">
        <v>87</v>
      </c>
      <c r="C162" s="35">
        <v>46265</v>
      </c>
      <c r="D162" s="18" t="s">
        <v>39</v>
      </c>
    </row>
    <row r="163" spans="1:4">
      <c r="A163" s="108" t="s">
        <v>125</v>
      </c>
      <c r="B163" s="108" t="s">
        <v>87</v>
      </c>
      <c r="C163" s="35">
        <v>46279</v>
      </c>
      <c r="D163" s="18" t="s">
        <v>39</v>
      </c>
    </row>
    <row r="164" spans="1:4">
      <c r="A164" s="108" t="s">
        <v>125</v>
      </c>
      <c r="B164" s="108" t="s">
        <v>87</v>
      </c>
      <c r="C164" s="35">
        <v>46293</v>
      </c>
      <c r="D164" s="18" t="s">
        <v>39</v>
      </c>
    </row>
    <row r="165" spans="1:4">
      <c r="A165" s="108" t="s">
        <v>125</v>
      </c>
      <c r="B165" s="108" t="s">
        <v>87</v>
      </c>
      <c r="C165" s="35">
        <v>46307</v>
      </c>
      <c r="D165" s="18" t="s">
        <v>39</v>
      </c>
    </row>
    <row r="166" spans="1:4">
      <c r="A166" s="108" t="s">
        <v>125</v>
      </c>
      <c r="B166" s="108" t="s">
        <v>87</v>
      </c>
      <c r="C166" s="35">
        <v>46321</v>
      </c>
      <c r="D166" s="18" t="s">
        <v>39</v>
      </c>
    </row>
    <row r="167" spans="1:4">
      <c r="A167" s="108" t="s">
        <v>125</v>
      </c>
      <c r="B167" s="108" t="s">
        <v>87</v>
      </c>
      <c r="C167" s="35">
        <v>46335</v>
      </c>
      <c r="D167" s="18" t="s">
        <v>39</v>
      </c>
    </row>
    <row r="168" spans="1:4">
      <c r="A168" s="108" t="s">
        <v>125</v>
      </c>
      <c r="B168" s="108" t="s">
        <v>87</v>
      </c>
      <c r="C168" s="35">
        <v>46349</v>
      </c>
      <c r="D168" s="18" t="s">
        <v>39</v>
      </c>
    </row>
    <row r="169" spans="1:4">
      <c r="A169" s="108" t="s">
        <v>125</v>
      </c>
      <c r="B169" s="108" t="s">
        <v>87</v>
      </c>
      <c r="C169" s="35">
        <v>46363</v>
      </c>
      <c r="D169" s="18" t="s">
        <v>39</v>
      </c>
    </row>
    <row r="170" spans="1:4">
      <c r="A170" s="108" t="s">
        <v>125</v>
      </c>
      <c r="B170" s="108" t="s">
        <v>87</v>
      </c>
      <c r="C170" s="35">
        <v>46377</v>
      </c>
      <c r="D170" s="18" t="s">
        <v>39</v>
      </c>
    </row>
    <row r="171" spans="1:4">
      <c r="A171" s="108" t="s">
        <v>12</v>
      </c>
      <c r="B171" s="108" t="s">
        <v>16</v>
      </c>
      <c r="C171" s="35">
        <v>46186</v>
      </c>
      <c r="D171" s="18" t="s">
        <v>39</v>
      </c>
    </row>
    <row r="172" spans="1:4">
      <c r="A172" s="108" t="s">
        <v>12</v>
      </c>
      <c r="B172" s="108" t="s">
        <v>9</v>
      </c>
      <c r="C172" s="35">
        <v>46126</v>
      </c>
      <c r="D172" s="18" t="s">
        <v>39</v>
      </c>
    </row>
    <row r="173" spans="1:4">
      <c r="A173" s="108" t="s">
        <v>12</v>
      </c>
      <c r="B173" s="108" t="s">
        <v>14</v>
      </c>
      <c r="C173" s="35">
        <v>46156</v>
      </c>
      <c r="D173" s="18" t="s">
        <v>39</v>
      </c>
    </row>
    <row r="174" spans="1:4">
      <c r="A174" s="108" t="s">
        <v>12</v>
      </c>
      <c r="B174" s="108" t="s">
        <v>106</v>
      </c>
      <c r="C174" s="35">
        <v>46084</v>
      </c>
      <c r="D174" s="18" t="s">
        <v>64</v>
      </c>
    </row>
    <row r="175" spans="1:4">
      <c r="A175" s="108" t="s">
        <v>12</v>
      </c>
      <c r="B175" s="108" t="s">
        <v>96</v>
      </c>
      <c r="C175" s="35">
        <v>46106</v>
      </c>
      <c r="D175" s="18" t="s">
        <v>39</v>
      </c>
    </row>
    <row r="176" spans="1:4">
      <c r="A176" s="108" t="s">
        <v>12</v>
      </c>
      <c r="B176" s="108" t="s">
        <v>15</v>
      </c>
      <c r="C176" s="35">
        <v>46171</v>
      </c>
      <c r="D176" s="18" t="s">
        <v>39</v>
      </c>
    </row>
    <row r="177" spans="1:4">
      <c r="A177" s="108" t="s">
        <v>12</v>
      </c>
      <c r="B177" s="108" t="s">
        <v>6</v>
      </c>
      <c r="C177" s="35">
        <v>46141</v>
      </c>
      <c r="D177" s="18" t="s">
        <v>39</v>
      </c>
    </row>
  </sheetData>
  <conditionalFormatting sqref="A4">
    <cfRule type="timePeriod" dxfId="2975" priority="13" timePeriod="tomorrow">
      <formula>FLOOR(A4,1)=TODAY()+1</formula>
    </cfRule>
    <cfRule type="timePeriod" dxfId="2974" priority="14" timePeriod="tomorrow">
      <formula>FLOOR(A4,1)=TODAY()+1</formula>
    </cfRule>
  </conditionalFormatting>
  <conditionalFormatting sqref="D2:D139">
    <cfRule type="expression" dxfId="2973" priority="1">
      <formula>AND(C2&lt;TODAY(), D2="PROGRAMADO")</formula>
    </cfRule>
  </conditionalFormatting>
  <conditionalFormatting sqref="D3:D193">
    <cfRule type="containsText" dxfId="2972" priority="4" operator="containsText" text="PENDIENTE">
      <formula>NOT(ISERROR(SEARCH("PENDIENTE",D3)))</formula>
    </cfRule>
    <cfRule type="containsText" dxfId="2971" priority="5" operator="containsText" text="CENCALADO">
      <formula>NOT(ISERROR(SEARCH("CENCALADO",D3)))</formula>
    </cfRule>
    <cfRule type="containsText" dxfId="2970" priority="6" operator="containsText" text="VENCIDA">
      <formula>NOT(ISERROR(SEARCH("VENCIDA",D3)))</formula>
    </cfRule>
    <cfRule type="containsText" dxfId="2969" priority="7" operator="containsText" text="PROGRAMADO">
      <formula>NOT(ISERROR(SEARCH("PROGRAMADO",D3)))</formula>
    </cfRule>
    <cfRule type="containsText" dxfId="2968" priority="8" operator="containsText" text="HECHO">
      <formula>NOT(ISERROR(SEARCH("HECHO",D3)))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25"/>
  <sheetViews>
    <sheetView showGridLines="0" zoomScale="130" zoomScaleNormal="130" workbookViewId="0">
      <pane ySplit="3" topLeftCell="A111" activePane="bottomLeft" state="frozen"/>
      <selection pane="bottomLeft" activeCell="G99" sqref="G99"/>
    </sheetView>
  </sheetViews>
  <sheetFormatPr baseColWidth="10" defaultColWidth="8.6640625" defaultRowHeight="14.4"/>
  <cols>
    <col min="1" max="1" width="9.77734375" customWidth="1"/>
    <col min="2" max="2" width="8.88671875" bestFit="1" customWidth="1"/>
    <col min="3" max="3" width="13.33203125" style="18" bestFit="1" customWidth="1"/>
    <col min="4" max="4" width="42.109375" customWidth="1"/>
    <col min="5" max="5" width="20.77734375" customWidth="1"/>
    <col min="6" max="6" width="17.77734375" customWidth="1"/>
    <col min="7" max="7" width="12.109375" bestFit="1" customWidth="1"/>
    <col min="8" max="8" width="27.44140625" bestFit="1" customWidth="1"/>
  </cols>
  <sheetData>
    <row r="1" spans="1:8" ht="27.75" customHeight="1">
      <c r="A1" s="83" t="s">
        <v>138</v>
      </c>
      <c r="B1" s="84"/>
      <c r="C1" s="84"/>
      <c r="D1" s="84"/>
      <c r="E1" s="84"/>
      <c r="F1" s="84"/>
      <c r="G1" s="84"/>
      <c r="H1" s="84"/>
    </row>
    <row r="2" spans="1:8" ht="25.5" customHeight="1">
      <c r="A2" s="85" t="s">
        <v>41</v>
      </c>
      <c r="B2" s="85"/>
      <c r="C2" s="86"/>
      <c r="D2" s="85"/>
      <c r="E2" s="85"/>
      <c r="F2" s="85"/>
      <c r="G2" s="85"/>
      <c r="H2" s="85"/>
    </row>
    <row r="3" spans="1:8">
      <c r="A3" s="62" t="s">
        <v>37</v>
      </c>
      <c r="B3" s="63" t="s">
        <v>36</v>
      </c>
      <c r="C3" s="63" t="s">
        <v>0</v>
      </c>
      <c r="D3" s="63" t="s">
        <v>35</v>
      </c>
      <c r="E3" s="64" t="s">
        <v>82</v>
      </c>
      <c r="F3" s="64" t="s">
        <v>83</v>
      </c>
      <c r="G3" s="63" t="s">
        <v>38</v>
      </c>
      <c r="H3" s="63" t="s">
        <v>42</v>
      </c>
    </row>
    <row r="4" spans="1:8" ht="18" customHeight="1">
      <c r="A4" s="61">
        <f>WEEKNUM(E4,2)</f>
        <v>5</v>
      </c>
      <c r="B4" s="2" t="str">
        <f>TEXT(E4,"mmmm")</f>
        <v>Enero</v>
      </c>
      <c r="C4" s="3" t="s">
        <v>29</v>
      </c>
      <c r="D4" s="4" t="s">
        <v>93</v>
      </c>
      <c r="E4" s="20">
        <f>F4</f>
        <v>46050</v>
      </c>
      <c r="F4" s="20">
        <v>46050</v>
      </c>
      <c r="G4" s="5" t="s">
        <v>64</v>
      </c>
      <c r="H4" s="38"/>
    </row>
    <row r="5" spans="1:8" ht="18" customHeight="1">
      <c r="A5" s="61">
        <f t="shared" ref="A5:A68" si="0">WEEKNUM(E5,2)</f>
        <v>8</v>
      </c>
      <c r="B5" s="2" t="str">
        <f t="shared" ref="B5:B70" si="1">TEXT(E5,"mmmm")</f>
        <v>Febrero</v>
      </c>
      <c r="C5" s="3" t="s">
        <v>29</v>
      </c>
      <c r="D5" s="4" t="s">
        <v>100</v>
      </c>
      <c r="E5" s="20">
        <f>F5</f>
        <v>46072</v>
      </c>
      <c r="F5" s="20">
        <v>46072</v>
      </c>
      <c r="G5" s="5" t="s">
        <v>64</v>
      </c>
      <c r="H5" s="38"/>
    </row>
    <row r="6" spans="1:8" ht="18" customHeight="1">
      <c r="A6" s="61">
        <f t="shared" si="0"/>
        <v>9</v>
      </c>
      <c r="B6" s="2" t="str">
        <f t="shared" si="1"/>
        <v>Febrero</v>
      </c>
      <c r="C6" s="3" t="s">
        <v>29</v>
      </c>
      <c r="D6" s="4" t="s">
        <v>93</v>
      </c>
      <c r="E6" s="20">
        <f>F6</f>
        <v>46078</v>
      </c>
      <c r="F6" s="20">
        <v>46078</v>
      </c>
      <c r="G6" s="5" t="s">
        <v>64</v>
      </c>
      <c r="H6" s="38"/>
    </row>
    <row r="7" spans="1:8" ht="18" customHeight="1">
      <c r="A7" s="61">
        <f t="shared" si="0"/>
        <v>10</v>
      </c>
      <c r="B7" s="2" t="str">
        <f t="shared" si="1"/>
        <v>Marzo</v>
      </c>
      <c r="C7" s="3" t="s">
        <v>29</v>
      </c>
      <c r="D7" s="21" t="s">
        <v>115</v>
      </c>
      <c r="E7" s="20">
        <f>F7</f>
        <v>46087</v>
      </c>
      <c r="F7" s="20">
        <v>46087</v>
      </c>
      <c r="G7" s="5" t="s">
        <v>64</v>
      </c>
      <c r="H7" s="38"/>
    </row>
    <row r="8" spans="1:8" ht="18" customHeight="1">
      <c r="A8" s="61">
        <f t="shared" si="0"/>
        <v>12</v>
      </c>
      <c r="B8" s="2" t="str">
        <f t="shared" si="1"/>
        <v>Marzo</v>
      </c>
      <c r="C8" s="3" t="s">
        <v>29</v>
      </c>
      <c r="D8" s="4" t="s">
        <v>87</v>
      </c>
      <c r="E8" s="20">
        <f>F8</f>
        <v>46100</v>
      </c>
      <c r="F8" s="20">
        <v>46100</v>
      </c>
      <c r="G8" s="5" t="s">
        <v>64</v>
      </c>
      <c r="H8" s="38"/>
    </row>
    <row r="9" spans="1:8" ht="18" customHeight="1">
      <c r="A9" s="61">
        <f t="shared" si="0"/>
        <v>14</v>
      </c>
      <c r="B9" s="2" t="str">
        <f t="shared" si="1"/>
        <v>Abril</v>
      </c>
      <c r="C9" s="3" t="s">
        <v>29</v>
      </c>
      <c r="D9" s="4" t="s">
        <v>87</v>
      </c>
      <c r="E9" s="20">
        <v>46114</v>
      </c>
      <c r="F9" s="20"/>
      <c r="G9" s="5" t="s">
        <v>39</v>
      </c>
      <c r="H9" s="38"/>
    </row>
    <row r="10" spans="1:8" ht="18" customHeight="1">
      <c r="A10" s="61">
        <f t="shared" si="0"/>
        <v>16</v>
      </c>
      <c r="B10" s="2" t="str">
        <f t="shared" si="1"/>
        <v>Abril</v>
      </c>
      <c r="C10" s="3" t="s">
        <v>29</v>
      </c>
      <c r="D10" s="4" t="s">
        <v>87</v>
      </c>
      <c r="E10" s="20">
        <v>46128</v>
      </c>
      <c r="F10" s="20"/>
      <c r="G10" s="5" t="s">
        <v>39</v>
      </c>
      <c r="H10" s="38"/>
    </row>
    <row r="11" spans="1:8" ht="18" customHeight="1">
      <c r="A11" s="61">
        <f t="shared" si="0"/>
        <v>18</v>
      </c>
      <c r="B11" s="2" t="str">
        <f t="shared" si="1"/>
        <v>Abril</v>
      </c>
      <c r="C11" s="3" t="s">
        <v>29</v>
      </c>
      <c r="D11" s="4" t="s">
        <v>87</v>
      </c>
      <c r="E11" s="20">
        <v>46142</v>
      </c>
      <c r="F11" s="20"/>
      <c r="G11" s="5" t="s">
        <v>39</v>
      </c>
      <c r="H11" s="6"/>
    </row>
    <row r="12" spans="1:8" ht="18" customHeight="1">
      <c r="A12" s="61">
        <f t="shared" si="0"/>
        <v>22</v>
      </c>
      <c r="B12" s="2" t="str">
        <f t="shared" si="1"/>
        <v>Mayo</v>
      </c>
      <c r="C12" s="3" t="s">
        <v>29</v>
      </c>
      <c r="D12" s="4" t="s">
        <v>87</v>
      </c>
      <c r="E12" s="20">
        <v>46172</v>
      </c>
      <c r="F12" s="20"/>
      <c r="G12" s="5" t="s">
        <v>39</v>
      </c>
      <c r="H12" s="6"/>
    </row>
    <row r="13" spans="1:8" ht="18" customHeight="1">
      <c r="A13" s="61">
        <f t="shared" si="0"/>
        <v>27</v>
      </c>
      <c r="B13" s="2" t="str">
        <f t="shared" si="1"/>
        <v>Junio</v>
      </c>
      <c r="C13" s="3" t="s">
        <v>29</v>
      </c>
      <c r="D13" s="4" t="s">
        <v>87</v>
      </c>
      <c r="E13" s="20">
        <v>46202</v>
      </c>
      <c r="F13" s="20"/>
      <c r="G13" s="5" t="s">
        <v>39</v>
      </c>
      <c r="H13" s="6"/>
    </row>
    <row r="14" spans="1:8" ht="18" customHeight="1">
      <c r="A14" s="61">
        <f t="shared" si="0"/>
        <v>31</v>
      </c>
      <c r="B14" s="2" t="str">
        <f t="shared" si="1"/>
        <v>Julio</v>
      </c>
      <c r="C14" s="3" t="s">
        <v>29</v>
      </c>
      <c r="D14" s="4" t="s">
        <v>87</v>
      </c>
      <c r="E14" s="20">
        <v>46232</v>
      </c>
      <c r="F14" s="20"/>
      <c r="G14" s="5" t="s">
        <v>39</v>
      </c>
      <c r="H14" s="6"/>
    </row>
    <row r="15" spans="1:8" ht="18" customHeight="1">
      <c r="A15" s="61">
        <f t="shared" si="0"/>
        <v>35</v>
      </c>
      <c r="B15" s="2" t="str">
        <f t="shared" si="1"/>
        <v>Agosto</v>
      </c>
      <c r="C15" s="3" t="s">
        <v>29</v>
      </c>
      <c r="D15" s="4" t="s">
        <v>87</v>
      </c>
      <c r="E15" s="20">
        <v>46262</v>
      </c>
      <c r="F15" s="20"/>
      <c r="G15" s="5" t="s">
        <v>39</v>
      </c>
      <c r="H15" s="6"/>
    </row>
    <row r="16" spans="1:8" ht="18" customHeight="1">
      <c r="A16" s="61">
        <f t="shared" si="0"/>
        <v>39</v>
      </c>
      <c r="B16" s="2" t="str">
        <f t="shared" si="1"/>
        <v>Setiembre</v>
      </c>
      <c r="C16" s="3" t="s">
        <v>29</v>
      </c>
      <c r="D16" s="4" t="s">
        <v>87</v>
      </c>
      <c r="E16" s="20">
        <v>46292</v>
      </c>
      <c r="F16" s="20"/>
      <c r="G16" s="5" t="s">
        <v>39</v>
      </c>
      <c r="H16" s="6"/>
    </row>
    <row r="17" spans="1:8" ht="18" customHeight="1">
      <c r="A17" s="61">
        <f t="shared" si="0"/>
        <v>44</v>
      </c>
      <c r="B17" s="2" t="str">
        <f t="shared" si="1"/>
        <v>Octubre</v>
      </c>
      <c r="C17" s="3" t="s">
        <v>29</v>
      </c>
      <c r="D17" s="4" t="s">
        <v>87</v>
      </c>
      <c r="E17" s="20">
        <v>46322</v>
      </c>
      <c r="F17" s="20"/>
      <c r="G17" s="5" t="s">
        <v>39</v>
      </c>
      <c r="H17" s="6"/>
    </row>
    <row r="18" spans="1:8" ht="18" customHeight="1">
      <c r="A18" s="61">
        <f t="shared" si="0"/>
        <v>48</v>
      </c>
      <c r="B18" s="2" t="str">
        <f t="shared" si="1"/>
        <v>Noviembre</v>
      </c>
      <c r="C18" s="3" t="s">
        <v>29</v>
      </c>
      <c r="D18" s="4" t="s">
        <v>87</v>
      </c>
      <c r="E18" s="20">
        <v>46352</v>
      </c>
      <c r="F18" s="20"/>
      <c r="G18" s="5" t="s">
        <v>39</v>
      </c>
      <c r="H18" s="6"/>
    </row>
    <row r="19" spans="1:8" ht="18" customHeight="1">
      <c r="A19" s="61">
        <f t="shared" si="0"/>
        <v>50</v>
      </c>
      <c r="B19" s="2" t="str">
        <f t="shared" si="1"/>
        <v>Diciembre</v>
      </c>
      <c r="C19" s="3" t="s">
        <v>29</v>
      </c>
      <c r="D19" s="4" t="s">
        <v>87</v>
      </c>
      <c r="E19" s="20">
        <v>46367</v>
      </c>
      <c r="F19" s="20"/>
      <c r="G19" s="5" t="s">
        <v>39</v>
      </c>
      <c r="H19" s="6"/>
    </row>
    <row r="20" spans="1:8" ht="18" customHeight="1">
      <c r="A20" s="61">
        <f t="shared" si="0"/>
        <v>3</v>
      </c>
      <c r="B20" s="2" t="str">
        <f t="shared" si="1"/>
        <v>Enero</v>
      </c>
      <c r="C20" s="3" t="s">
        <v>29</v>
      </c>
      <c r="D20" s="21" t="s">
        <v>116</v>
      </c>
      <c r="E20" s="20">
        <v>46038</v>
      </c>
      <c r="F20" s="20"/>
      <c r="G20" s="5" t="s">
        <v>39</v>
      </c>
      <c r="H20" s="6"/>
    </row>
    <row r="21" spans="1:8" ht="18" customHeight="1">
      <c r="A21" s="61">
        <f t="shared" si="0"/>
        <v>6</v>
      </c>
      <c r="B21" s="2" t="str">
        <f t="shared" si="1"/>
        <v>Febrero</v>
      </c>
      <c r="C21" s="3" t="s">
        <v>29</v>
      </c>
      <c r="D21" s="21" t="s">
        <v>116</v>
      </c>
      <c r="E21" s="20">
        <v>46056</v>
      </c>
      <c r="F21" s="20"/>
      <c r="G21" s="5" t="s">
        <v>39</v>
      </c>
      <c r="H21" s="6"/>
    </row>
    <row r="22" spans="1:8" ht="18" customHeight="1">
      <c r="A22" s="61">
        <f t="shared" si="0"/>
        <v>10</v>
      </c>
      <c r="B22" s="2" t="str">
        <f t="shared" si="1"/>
        <v>Marzo</v>
      </c>
      <c r="C22" s="3" t="s">
        <v>29</v>
      </c>
      <c r="D22" s="21" t="s">
        <v>116</v>
      </c>
      <c r="E22" s="20">
        <v>46084</v>
      </c>
      <c r="F22" s="20"/>
      <c r="G22" s="5" t="s">
        <v>39</v>
      </c>
      <c r="H22" s="6"/>
    </row>
    <row r="23" spans="1:8" ht="18" customHeight="1">
      <c r="A23" s="61">
        <f t="shared" si="0"/>
        <v>14</v>
      </c>
      <c r="B23" s="2" t="str">
        <f t="shared" si="1"/>
        <v>Abril</v>
      </c>
      <c r="C23" s="3" t="s">
        <v>29</v>
      </c>
      <c r="D23" s="21" t="s">
        <v>116</v>
      </c>
      <c r="E23" s="20">
        <v>46115</v>
      </c>
      <c r="F23" s="20"/>
      <c r="G23" s="5" t="s">
        <v>39</v>
      </c>
      <c r="H23" s="6"/>
    </row>
    <row r="24" spans="1:8" ht="18" customHeight="1">
      <c r="A24" s="61">
        <f t="shared" si="0"/>
        <v>18</v>
      </c>
      <c r="B24" s="2" t="str">
        <f t="shared" si="1"/>
        <v>Mayo</v>
      </c>
      <c r="C24" s="3" t="s">
        <v>29</v>
      </c>
      <c r="D24" s="21" t="s">
        <v>116</v>
      </c>
      <c r="E24" s="20">
        <v>46145</v>
      </c>
      <c r="F24" s="20"/>
      <c r="G24" s="5" t="s">
        <v>39</v>
      </c>
      <c r="H24" s="6"/>
    </row>
    <row r="25" spans="1:8" ht="18" customHeight="1">
      <c r="A25" s="61">
        <f t="shared" si="0"/>
        <v>23</v>
      </c>
      <c r="B25" s="2" t="str">
        <f t="shared" si="1"/>
        <v>Junio</v>
      </c>
      <c r="C25" s="3" t="s">
        <v>29</v>
      </c>
      <c r="D25" s="21" t="s">
        <v>116</v>
      </c>
      <c r="E25" s="20">
        <v>46176</v>
      </c>
      <c r="F25" s="20"/>
      <c r="G25" s="5" t="s">
        <v>39</v>
      </c>
      <c r="H25" s="6"/>
    </row>
    <row r="26" spans="1:8" ht="18" customHeight="1">
      <c r="A26" s="61">
        <f t="shared" si="0"/>
        <v>27</v>
      </c>
      <c r="B26" s="2" t="str">
        <f t="shared" si="1"/>
        <v>Julio</v>
      </c>
      <c r="C26" s="3" t="s">
        <v>29</v>
      </c>
      <c r="D26" s="21" t="s">
        <v>116</v>
      </c>
      <c r="E26" s="20">
        <v>46206</v>
      </c>
      <c r="F26" s="20"/>
      <c r="G26" s="5" t="s">
        <v>39</v>
      </c>
      <c r="H26" s="6"/>
    </row>
    <row r="27" spans="1:8" ht="18" customHeight="1">
      <c r="A27" s="61">
        <f t="shared" si="0"/>
        <v>32</v>
      </c>
      <c r="B27" s="2" t="str">
        <f t="shared" si="1"/>
        <v>Agosto</v>
      </c>
      <c r="C27" s="3" t="s">
        <v>29</v>
      </c>
      <c r="D27" s="21" t="s">
        <v>116</v>
      </c>
      <c r="E27" s="20">
        <v>46237</v>
      </c>
      <c r="F27" s="20"/>
      <c r="G27" s="5" t="s">
        <v>39</v>
      </c>
      <c r="H27" s="6"/>
    </row>
    <row r="28" spans="1:8" ht="18" customHeight="1">
      <c r="A28" s="61">
        <f t="shared" si="0"/>
        <v>36</v>
      </c>
      <c r="B28" s="2" t="str">
        <f t="shared" si="1"/>
        <v>Setiembre</v>
      </c>
      <c r="C28" s="3" t="s">
        <v>29</v>
      </c>
      <c r="D28" s="21" t="s">
        <v>116</v>
      </c>
      <c r="E28" s="20">
        <v>46268</v>
      </c>
      <c r="F28" s="20"/>
      <c r="G28" s="5" t="s">
        <v>39</v>
      </c>
      <c r="H28" s="6"/>
    </row>
    <row r="29" spans="1:8" ht="18" customHeight="1">
      <c r="A29" s="61">
        <f t="shared" si="0"/>
        <v>40</v>
      </c>
      <c r="B29" s="2" t="str">
        <f t="shared" si="1"/>
        <v>Octubre</v>
      </c>
      <c r="C29" s="3" t="s">
        <v>29</v>
      </c>
      <c r="D29" s="21" t="s">
        <v>116</v>
      </c>
      <c r="E29" s="20">
        <v>46298</v>
      </c>
      <c r="F29" s="20"/>
      <c r="G29" s="5" t="s">
        <v>39</v>
      </c>
      <c r="H29" s="6"/>
    </row>
    <row r="30" spans="1:8" ht="18" customHeight="1">
      <c r="A30" s="61">
        <f t="shared" si="0"/>
        <v>45</v>
      </c>
      <c r="B30" s="2" t="str">
        <f t="shared" ref="B30:B31" si="2">TEXT(E30,"mmmm")</f>
        <v>Noviembre</v>
      </c>
      <c r="C30" s="3" t="s">
        <v>29</v>
      </c>
      <c r="D30" s="21" t="s">
        <v>116</v>
      </c>
      <c r="E30" s="20">
        <v>46329</v>
      </c>
      <c r="F30" s="20"/>
      <c r="G30" s="5" t="s">
        <v>39</v>
      </c>
      <c r="H30" s="6"/>
    </row>
    <row r="31" spans="1:8" ht="18" customHeight="1">
      <c r="A31" s="61">
        <f t="shared" si="0"/>
        <v>49</v>
      </c>
      <c r="B31" s="2" t="str">
        <f t="shared" si="2"/>
        <v>Diciembre</v>
      </c>
      <c r="C31" s="3" t="s">
        <v>29</v>
      </c>
      <c r="D31" s="21" t="s">
        <v>116</v>
      </c>
      <c r="E31" s="20">
        <v>46359</v>
      </c>
      <c r="F31" s="20"/>
      <c r="G31" s="5" t="s">
        <v>39</v>
      </c>
      <c r="H31" s="6"/>
    </row>
    <row r="32" spans="1:8" ht="18" customHeight="1">
      <c r="A32" s="61">
        <f t="shared" si="0"/>
        <v>4</v>
      </c>
      <c r="B32" s="2" t="str">
        <f t="shared" si="1"/>
        <v>Enero</v>
      </c>
      <c r="C32" s="11" t="s">
        <v>17</v>
      </c>
      <c r="D32" s="12" t="s">
        <v>88</v>
      </c>
      <c r="E32" s="33">
        <f>F32</f>
        <v>46045</v>
      </c>
      <c r="F32" s="33">
        <v>46045</v>
      </c>
      <c r="G32" s="25" t="s">
        <v>64</v>
      </c>
      <c r="H32" s="6"/>
    </row>
    <row r="33" spans="1:8" ht="18" customHeight="1">
      <c r="A33" s="61">
        <f t="shared" si="0"/>
        <v>5</v>
      </c>
      <c r="B33" s="2" t="str">
        <f t="shared" si="1"/>
        <v>Enero</v>
      </c>
      <c r="C33" s="11" t="s">
        <v>17</v>
      </c>
      <c r="D33" s="12" t="s">
        <v>94</v>
      </c>
      <c r="E33" s="33">
        <f>F33</f>
        <v>46050</v>
      </c>
      <c r="F33" s="33">
        <v>46050</v>
      </c>
      <c r="G33" s="25" t="s">
        <v>64</v>
      </c>
      <c r="H33" s="6"/>
    </row>
    <row r="34" spans="1:8" ht="18" customHeight="1">
      <c r="A34" s="61">
        <f t="shared" si="0"/>
        <v>5</v>
      </c>
      <c r="B34" s="2" t="str">
        <f t="shared" si="1"/>
        <v>Enero</v>
      </c>
      <c r="C34" s="11" t="s">
        <v>17</v>
      </c>
      <c r="D34" s="12" t="s">
        <v>99</v>
      </c>
      <c r="E34" s="33">
        <f>F34</f>
        <v>46052</v>
      </c>
      <c r="F34" s="33">
        <v>46052</v>
      </c>
      <c r="G34" s="25" t="s">
        <v>64</v>
      </c>
      <c r="H34" s="6"/>
    </row>
    <row r="35" spans="1:8" ht="18" customHeight="1">
      <c r="A35" s="61">
        <f t="shared" si="0"/>
        <v>9</v>
      </c>
      <c r="B35" s="2" t="str">
        <f t="shared" si="1"/>
        <v>Febrero</v>
      </c>
      <c r="C35" s="11" t="s">
        <v>17</v>
      </c>
      <c r="D35" s="12" t="s">
        <v>102</v>
      </c>
      <c r="E35" s="33">
        <f>F35</f>
        <v>46078</v>
      </c>
      <c r="F35" s="33">
        <v>46078</v>
      </c>
      <c r="G35" s="25" t="s">
        <v>64</v>
      </c>
      <c r="H35" s="6"/>
    </row>
    <row r="36" spans="1:8" ht="18" customHeight="1">
      <c r="A36" s="61">
        <f t="shared" si="0"/>
        <v>9</v>
      </c>
      <c r="B36" s="2" t="str">
        <f t="shared" si="1"/>
        <v>Febrero</v>
      </c>
      <c r="C36" s="11" t="s">
        <v>17</v>
      </c>
      <c r="D36" s="12" t="s">
        <v>103</v>
      </c>
      <c r="E36" s="33">
        <f>F36</f>
        <v>46079</v>
      </c>
      <c r="F36" s="33">
        <v>46079</v>
      </c>
      <c r="G36" s="25" t="s">
        <v>64</v>
      </c>
      <c r="H36" s="6"/>
    </row>
    <row r="37" spans="1:8" ht="18" customHeight="1">
      <c r="A37" s="61">
        <f t="shared" si="0"/>
        <v>10</v>
      </c>
      <c r="B37" s="2" t="str">
        <f t="shared" si="1"/>
        <v>Marzo</v>
      </c>
      <c r="C37" s="11" t="s">
        <v>17</v>
      </c>
      <c r="D37" s="12" t="s">
        <v>107</v>
      </c>
      <c r="E37" s="33">
        <v>46084</v>
      </c>
      <c r="F37" s="33">
        <v>46084</v>
      </c>
      <c r="G37" s="25" t="s">
        <v>64</v>
      </c>
      <c r="H37" s="6"/>
    </row>
    <row r="38" spans="1:8" ht="18" customHeight="1">
      <c r="A38" s="61">
        <f t="shared" si="0"/>
        <v>11</v>
      </c>
      <c r="B38" s="2" t="str">
        <f t="shared" si="1"/>
        <v>Marzo</v>
      </c>
      <c r="C38" s="11" t="s">
        <v>17</v>
      </c>
      <c r="D38" s="12" t="s">
        <v>110</v>
      </c>
      <c r="E38" s="33">
        <f>F38</f>
        <v>46093</v>
      </c>
      <c r="F38" s="33">
        <v>46093</v>
      </c>
      <c r="G38" s="25" t="s">
        <v>64</v>
      </c>
      <c r="H38" s="6"/>
    </row>
    <row r="39" spans="1:8" ht="18" customHeight="1">
      <c r="A39" s="61">
        <f t="shared" si="0"/>
        <v>12</v>
      </c>
      <c r="B39" s="2" t="str">
        <f t="shared" si="1"/>
        <v>Marzo</v>
      </c>
      <c r="C39" s="11" t="s">
        <v>17</v>
      </c>
      <c r="D39" s="36" t="s">
        <v>126</v>
      </c>
      <c r="E39" s="33">
        <f>F39</f>
        <v>46101</v>
      </c>
      <c r="F39" s="33">
        <v>46101</v>
      </c>
      <c r="G39" s="25" t="s">
        <v>64</v>
      </c>
      <c r="H39" s="6"/>
    </row>
    <row r="40" spans="1:8" ht="18" customHeight="1">
      <c r="A40" s="61">
        <f t="shared" si="0"/>
        <v>13</v>
      </c>
      <c r="B40" s="2" t="str">
        <f t="shared" si="1"/>
        <v>Marzo</v>
      </c>
      <c r="C40" s="11" t="s">
        <v>17</v>
      </c>
      <c r="D40" s="36" t="s">
        <v>26</v>
      </c>
      <c r="E40" s="33">
        <v>46106</v>
      </c>
      <c r="F40" s="33"/>
      <c r="G40" s="25" t="s">
        <v>39</v>
      </c>
      <c r="H40" s="6"/>
    </row>
    <row r="41" spans="1:8" ht="18" customHeight="1">
      <c r="A41" s="61">
        <f t="shared" si="0"/>
        <v>14</v>
      </c>
      <c r="B41" s="2" t="str">
        <f t="shared" si="1"/>
        <v>Abril</v>
      </c>
      <c r="C41" s="11" t="s">
        <v>17</v>
      </c>
      <c r="D41" s="36" t="s">
        <v>26</v>
      </c>
      <c r="E41" s="33">
        <f>E40+7</f>
        <v>46113</v>
      </c>
      <c r="F41" s="33"/>
      <c r="G41" s="25" t="s">
        <v>39</v>
      </c>
      <c r="H41" s="6"/>
    </row>
    <row r="42" spans="1:8" ht="18" customHeight="1">
      <c r="A42" s="61">
        <f t="shared" si="0"/>
        <v>15</v>
      </c>
      <c r="B42" s="2" t="str">
        <f t="shared" si="1"/>
        <v>Abril</v>
      </c>
      <c r="C42" s="11" t="s">
        <v>17</v>
      </c>
      <c r="D42" s="36" t="s">
        <v>26</v>
      </c>
      <c r="E42" s="33">
        <f t="shared" ref="E42:E53" si="3">E41+7</f>
        <v>46120</v>
      </c>
      <c r="F42" s="33"/>
      <c r="G42" s="25" t="s">
        <v>39</v>
      </c>
      <c r="H42" s="6"/>
    </row>
    <row r="43" spans="1:8" ht="18" customHeight="1">
      <c r="A43" s="61">
        <f t="shared" si="0"/>
        <v>16</v>
      </c>
      <c r="B43" s="2" t="str">
        <f t="shared" si="1"/>
        <v>Abril</v>
      </c>
      <c r="C43" s="11" t="s">
        <v>17</v>
      </c>
      <c r="D43" s="36" t="s">
        <v>26</v>
      </c>
      <c r="E43" s="33">
        <f t="shared" si="3"/>
        <v>46127</v>
      </c>
      <c r="F43" s="33"/>
      <c r="G43" s="25" t="s">
        <v>39</v>
      </c>
      <c r="H43" s="6"/>
    </row>
    <row r="44" spans="1:8" ht="18" customHeight="1">
      <c r="A44" s="61">
        <f t="shared" si="0"/>
        <v>17</v>
      </c>
      <c r="B44" s="2" t="str">
        <f t="shared" si="1"/>
        <v>Abril</v>
      </c>
      <c r="C44" s="11" t="s">
        <v>17</v>
      </c>
      <c r="D44" s="36" t="s">
        <v>26</v>
      </c>
      <c r="E44" s="33">
        <f t="shared" si="3"/>
        <v>46134</v>
      </c>
      <c r="F44" s="33"/>
      <c r="G44" s="25" t="s">
        <v>39</v>
      </c>
      <c r="H44" s="6"/>
    </row>
    <row r="45" spans="1:8" ht="18" customHeight="1">
      <c r="A45" s="61">
        <f t="shared" si="0"/>
        <v>18</v>
      </c>
      <c r="B45" s="2" t="str">
        <f t="shared" si="1"/>
        <v>Abril</v>
      </c>
      <c r="C45" s="11" t="s">
        <v>17</v>
      </c>
      <c r="D45" s="36" t="s">
        <v>26</v>
      </c>
      <c r="E45" s="33">
        <f t="shared" si="3"/>
        <v>46141</v>
      </c>
      <c r="F45" s="33"/>
      <c r="G45" s="25" t="s">
        <v>39</v>
      </c>
      <c r="H45" s="6"/>
    </row>
    <row r="46" spans="1:8" ht="18" customHeight="1">
      <c r="A46" s="61">
        <f t="shared" si="0"/>
        <v>19</v>
      </c>
      <c r="B46" s="2" t="str">
        <f t="shared" si="1"/>
        <v>Mayo</v>
      </c>
      <c r="C46" s="11" t="s">
        <v>17</v>
      </c>
      <c r="D46" s="36" t="s">
        <v>26</v>
      </c>
      <c r="E46" s="33">
        <f t="shared" si="3"/>
        <v>46148</v>
      </c>
      <c r="F46" s="33"/>
      <c r="G46" s="25" t="s">
        <v>39</v>
      </c>
      <c r="H46" s="6"/>
    </row>
    <row r="47" spans="1:8" ht="18" customHeight="1">
      <c r="A47" s="61">
        <f t="shared" si="0"/>
        <v>20</v>
      </c>
      <c r="B47" s="2" t="str">
        <f t="shared" si="1"/>
        <v>Mayo</v>
      </c>
      <c r="C47" s="11" t="s">
        <v>17</v>
      </c>
      <c r="D47" s="36" t="s">
        <v>26</v>
      </c>
      <c r="E47" s="33">
        <f t="shared" si="3"/>
        <v>46155</v>
      </c>
      <c r="F47" s="33"/>
      <c r="G47" s="25" t="s">
        <v>39</v>
      </c>
      <c r="H47" s="6"/>
    </row>
    <row r="48" spans="1:8" ht="18" customHeight="1">
      <c r="A48" s="61">
        <f t="shared" si="0"/>
        <v>21</v>
      </c>
      <c r="B48" s="2" t="str">
        <f t="shared" si="1"/>
        <v>Mayo</v>
      </c>
      <c r="C48" s="11" t="s">
        <v>17</v>
      </c>
      <c r="D48" s="36" t="s">
        <v>26</v>
      </c>
      <c r="E48" s="33">
        <f t="shared" si="3"/>
        <v>46162</v>
      </c>
      <c r="F48" s="33"/>
      <c r="G48" s="25" t="s">
        <v>39</v>
      </c>
      <c r="H48" s="6"/>
    </row>
    <row r="49" spans="1:8" ht="18" customHeight="1">
      <c r="A49" s="61">
        <f t="shared" si="0"/>
        <v>22</v>
      </c>
      <c r="B49" s="2" t="str">
        <f t="shared" si="1"/>
        <v>Mayo</v>
      </c>
      <c r="C49" s="11" t="s">
        <v>17</v>
      </c>
      <c r="D49" s="36" t="s">
        <v>26</v>
      </c>
      <c r="E49" s="33">
        <f t="shared" si="3"/>
        <v>46169</v>
      </c>
      <c r="F49" s="33"/>
      <c r="G49" s="25" t="s">
        <v>39</v>
      </c>
      <c r="H49" s="6"/>
    </row>
    <row r="50" spans="1:8" ht="18" customHeight="1">
      <c r="A50" s="61">
        <f t="shared" si="0"/>
        <v>23</v>
      </c>
      <c r="B50" s="2" t="str">
        <f t="shared" si="1"/>
        <v>Junio</v>
      </c>
      <c r="C50" s="11" t="s">
        <v>17</v>
      </c>
      <c r="D50" s="36" t="s">
        <v>26</v>
      </c>
      <c r="E50" s="33">
        <f t="shared" si="3"/>
        <v>46176</v>
      </c>
      <c r="F50" s="33"/>
      <c r="G50" s="25" t="s">
        <v>39</v>
      </c>
      <c r="H50" s="6"/>
    </row>
    <row r="51" spans="1:8" ht="18" customHeight="1">
      <c r="A51" s="61">
        <f t="shared" si="0"/>
        <v>24</v>
      </c>
      <c r="B51" s="2" t="str">
        <f t="shared" si="1"/>
        <v>Junio</v>
      </c>
      <c r="C51" s="11" t="s">
        <v>17</v>
      </c>
      <c r="D51" s="36" t="s">
        <v>26</v>
      </c>
      <c r="E51" s="33">
        <f t="shared" si="3"/>
        <v>46183</v>
      </c>
      <c r="F51" s="33"/>
      <c r="G51" s="25" t="s">
        <v>39</v>
      </c>
      <c r="H51" s="6"/>
    </row>
    <row r="52" spans="1:8" ht="18" customHeight="1">
      <c r="A52" s="61">
        <f t="shared" si="0"/>
        <v>25</v>
      </c>
      <c r="B52" s="2" t="str">
        <f t="shared" si="1"/>
        <v>Junio</v>
      </c>
      <c r="C52" s="11" t="s">
        <v>17</v>
      </c>
      <c r="D52" s="36" t="s">
        <v>26</v>
      </c>
      <c r="E52" s="33">
        <f t="shared" si="3"/>
        <v>46190</v>
      </c>
      <c r="F52" s="33"/>
      <c r="G52" s="25" t="s">
        <v>39</v>
      </c>
      <c r="H52" s="6"/>
    </row>
    <row r="53" spans="1:8" ht="18" customHeight="1">
      <c r="A53" s="61">
        <f t="shared" si="0"/>
        <v>26</v>
      </c>
      <c r="B53" s="2" t="str">
        <f t="shared" si="1"/>
        <v>Junio</v>
      </c>
      <c r="C53" s="11" t="s">
        <v>17</v>
      </c>
      <c r="D53" s="36" t="s">
        <v>26</v>
      </c>
      <c r="E53" s="33">
        <f t="shared" si="3"/>
        <v>46197</v>
      </c>
      <c r="F53" s="33"/>
      <c r="G53" s="25" t="s">
        <v>39</v>
      </c>
      <c r="H53" s="6"/>
    </row>
    <row r="54" spans="1:8" ht="18" customHeight="1">
      <c r="A54" s="61">
        <f t="shared" si="0"/>
        <v>27</v>
      </c>
      <c r="B54" s="2" t="str">
        <f t="shared" si="1"/>
        <v>Julio</v>
      </c>
      <c r="C54" s="11" t="s">
        <v>17</v>
      </c>
      <c r="D54" s="36" t="s">
        <v>26</v>
      </c>
      <c r="E54" s="33">
        <f t="shared" ref="E54:E77" si="4">E53+7</f>
        <v>46204</v>
      </c>
      <c r="F54" s="33"/>
      <c r="G54" s="25" t="s">
        <v>39</v>
      </c>
      <c r="H54" s="6"/>
    </row>
    <row r="55" spans="1:8" ht="18" customHeight="1">
      <c r="A55" s="61">
        <f t="shared" si="0"/>
        <v>28</v>
      </c>
      <c r="B55" s="2" t="str">
        <f t="shared" si="1"/>
        <v>Julio</v>
      </c>
      <c r="C55" s="11" t="s">
        <v>17</v>
      </c>
      <c r="D55" s="36" t="s">
        <v>26</v>
      </c>
      <c r="E55" s="33">
        <f t="shared" si="4"/>
        <v>46211</v>
      </c>
      <c r="F55" s="33"/>
      <c r="G55" s="25" t="s">
        <v>39</v>
      </c>
      <c r="H55" s="6"/>
    </row>
    <row r="56" spans="1:8" ht="18" customHeight="1">
      <c r="A56" s="61">
        <f t="shared" si="0"/>
        <v>29</v>
      </c>
      <c r="B56" s="2" t="str">
        <f t="shared" si="1"/>
        <v>Julio</v>
      </c>
      <c r="C56" s="11" t="s">
        <v>17</v>
      </c>
      <c r="D56" s="36" t="s">
        <v>26</v>
      </c>
      <c r="E56" s="33">
        <f t="shared" si="4"/>
        <v>46218</v>
      </c>
      <c r="F56" s="33"/>
      <c r="G56" s="25" t="s">
        <v>39</v>
      </c>
      <c r="H56" s="6"/>
    </row>
    <row r="57" spans="1:8" ht="18" customHeight="1">
      <c r="A57" s="61">
        <f t="shared" si="0"/>
        <v>30</v>
      </c>
      <c r="B57" s="2" t="str">
        <f t="shared" si="1"/>
        <v>Julio</v>
      </c>
      <c r="C57" s="11" t="s">
        <v>17</v>
      </c>
      <c r="D57" s="36" t="s">
        <v>26</v>
      </c>
      <c r="E57" s="33">
        <f t="shared" si="4"/>
        <v>46225</v>
      </c>
      <c r="F57" s="33"/>
      <c r="G57" s="25" t="s">
        <v>39</v>
      </c>
      <c r="H57" s="6"/>
    </row>
    <row r="58" spans="1:8" ht="18" customHeight="1">
      <c r="A58" s="61">
        <f t="shared" si="0"/>
        <v>31</v>
      </c>
      <c r="B58" s="2" t="str">
        <f t="shared" si="1"/>
        <v>Julio</v>
      </c>
      <c r="C58" s="11" t="s">
        <v>17</v>
      </c>
      <c r="D58" s="36" t="s">
        <v>26</v>
      </c>
      <c r="E58" s="33">
        <f t="shared" si="4"/>
        <v>46232</v>
      </c>
      <c r="F58" s="33"/>
      <c r="G58" s="25" t="s">
        <v>39</v>
      </c>
      <c r="H58" s="6"/>
    </row>
    <row r="59" spans="1:8" ht="18" customHeight="1">
      <c r="A59" s="61">
        <f t="shared" si="0"/>
        <v>32</v>
      </c>
      <c r="B59" s="2" t="str">
        <f t="shared" si="1"/>
        <v>Agosto</v>
      </c>
      <c r="C59" s="11" t="s">
        <v>17</v>
      </c>
      <c r="D59" s="36" t="s">
        <v>26</v>
      </c>
      <c r="E59" s="33">
        <f t="shared" si="4"/>
        <v>46239</v>
      </c>
      <c r="F59" s="33"/>
      <c r="G59" s="25" t="s">
        <v>39</v>
      </c>
      <c r="H59" s="6"/>
    </row>
    <row r="60" spans="1:8" ht="18" customHeight="1">
      <c r="A60" s="61">
        <f t="shared" si="0"/>
        <v>33</v>
      </c>
      <c r="B60" s="2" t="str">
        <f t="shared" si="1"/>
        <v>Agosto</v>
      </c>
      <c r="C60" s="11" t="s">
        <v>17</v>
      </c>
      <c r="D60" s="36" t="s">
        <v>26</v>
      </c>
      <c r="E60" s="33">
        <f t="shared" si="4"/>
        <v>46246</v>
      </c>
      <c r="F60" s="33"/>
      <c r="G60" s="25" t="s">
        <v>39</v>
      </c>
      <c r="H60" s="6"/>
    </row>
    <row r="61" spans="1:8" ht="18" customHeight="1">
      <c r="A61" s="61">
        <f t="shared" si="0"/>
        <v>34</v>
      </c>
      <c r="B61" s="2" t="str">
        <f t="shared" si="1"/>
        <v>Agosto</v>
      </c>
      <c r="C61" s="11" t="s">
        <v>17</v>
      </c>
      <c r="D61" s="36" t="s">
        <v>26</v>
      </c>
      <c r="E61" s="33">
        <f t="shared" si="4"/>
        <v>46253</v>
      </c>
      <c r="F61" s="33"/>
      <c r="G61" s="25" t="s">
        <v>39</v>
      </c>
      <c r="H61" s="6"/>
    </row>
    <row r="62" spans="1:8" ht="18" customHeight="1">
      <c r="A62" s="61">
        <f t="shared" si="0"/>
        <v>35</v>
      </c>
      <c r="B62" s="2" t="str">
        <f t="shared" si="1"/>
        <v>Agosto</v>
      </c>
      <c r="C62" s="11" t="s">
        <v>17</v>
      </c>
      <c r="D62" s="36" t="s">
        <v>26</v>
      </c>
      <c r="E62" s="33">
        <f t="shared" si="4"/>
        <v>46260</v>
      </c>
      <c r="F62" s="33"/>
      <c r="G62" s="25" t="s">
        <v>39</v>
      </c>
      <c r="H62" s="6"/>
    </row>
    <row r="63" spans="1:8" ht="18" customHeight="1">
      <c r="A63" s="61">
        <f t="shared" si="0"/>
        <v>36</v>
      </c>
      <c r="B63" s="2" t="str">
        <f t="shared" si="1"/>
        <v>Setiembre</v>
      </c>
      <c r="C63" s="11" t="s">
        <v>17</v>
      </c>
      <c r="D63" s="36" t="s">
        <v>26</v>
      </c>
      <c r="E63" s="33">
        <f t="shared" si="4"/>
        <v>46267</v>
      </c>
      <c r="F63" s="33"/>
      <c r="G63" s="25" t="s">
        <v>39</v>
      </c>
      <c r="H63" s="6"/>
    </row>
    <row r="64" spans="1:8" ht="18" customHeight="1">
      <c r="A64" s="61">
        <f t="shared" si="0"/>
        <v>37</v>
      </c>
      <c r="B64" s="2" t="str">
        <f t="shared" si="1"/>
        <v>Setiembre</v>
      </c>
      <c r="C64" s="11" t="s">
        <v>17</v>
      </c>
      <c r="D64" s="36" t="s">
        <v>26</v>
      </c>
      <c r="E64" s="33">
        <f t="shared" si="4"/>
        <v>46274</v>
      </c>
      <c r="F64" s="33"/>
      <c r="G64" s="25" t="s">
        <v>39</v>
      </c>
      <c r="H64" s="6"/>
    </row>
    <row r="65" spans="1:8" ht="18" customHeight="1">
      <c r="A65" s="61">
        <f t="shared" si="0"/>
        <v>38</v>
      </c>
      <c r="B65" s="2" t="str">
        <f t="shared" si="1"/>
        <v>Setiembre</v>
      </c>
      <c r="C65" s="11" t="s">
        <v>17</v>
      </c>
      <c r="D65" s="36" t="s">
        <v>26</v>
      </c>
      <c r="E65" s="33">
        <f t="shared" si="4"/>
        <v>46281</v>
      </c>
      <c r="F65" s="33"/>
      <c r="G65" s="25" t="s">
        <v>39</v>
      </c>
      <c r="H65" s="6"/>
    </row>
    <row r="66" spans="1:8" ht="18" customHeight="1">
      <c r="A66" s="61">
        <f t="shared" si="0"/>
        <v>39</v>
      </c>
      <c r="B66" s="2" t="str">
        <f t="shared" si="1"/>
        <v>Setiembre</v>
      </c>
      <c r="C66" s="11" t="s">
        <v>17</v>
      </c>
      <c r="D66" s="36" t="s">
        <v>26</v>
      </c>
      <c r="E66" s="33">
        <f t="shared" si="4"/>
        <v>46288</v>
      </c>
      <c r="F66" s="33"/>
      <c r="G66" s="25" t="s">
        <v>39</v>
      </c>
      <c r="H66" s="6"/>
    </row>
    <row r="67" spans="1:8" ht="18" customHeight="1">
      <c r="A67" s="61">
        <f t="shared" si="0"/>
        <v>40</v>
      </c>
      <c r="B67" s="2" t="str">
        <f t="shared" si="1"/>
        <v>Setiembre</v>
      </c>
      <c r="C67" s="11" t="s">
        <v>17</v>
      </c>
      <c r="D67" s="36" t="s">
        <v>26</v>
      </c>
      <c r="E67" s="33">
        <f t="shared" si="4"/>
        <v>46295</v>
      </c>
      <c r="F67" s="33"/>
      <c r="G67" s="25" t="s">
        <v>39</v>
      </c>
      <c r="H67" s="6"/>
    </row>
    <row r="68" spans="1:8" ht="18" customHeight="1">
      <c r="A68" s="61">
        <f t="shared" si="0"/>
        <v>41</v>
      </c>
      <c r="B68" s="2" t="str">
        <f t="shared" si="1"/>
        <v>Octubre</v>
      </c>
      <c r="C68" s="11" t="s">
        <v>17</v>
      </c>
      <c r="D68" s="36" t="s">
        <v>26</v>
      </c>
      <c r="E68" s="33">
        <f t="shared" si="4"/>
        <v>46302</v>
      </c>
      <c r="F68" s="33"/>
      <c r="G68" s="25" t="s">
        <v>39</v>
      </c>
      <c r="H68" s="6"/>
    </row>
    <row r="69" spans="1:8" ht="18" customHeight="1">
      <c r="A69" s="61">
        <f t="shared" ref="A69:A135" si="5">WEEKNUM(E69,2)</f>
        <v>42</v>
      </c>
      <c r="B69" s="2" t="str">
        <f t="shared" si="1"/>
        <v>Octubre</v>
      </c>
      <c r="C69" s="11" t="s">
        <v>17</v>
      </c>
      <c r="D69" s="36" t="s">
        <v>26</v>
      </c>
      <c r="E69" s="33">
        <f t="shared" si="4"/>
        <v>46309</v>
      </c>
      <c r="F69" s="33"/>
      <c r="G69" s="25" t="s">
        <v>39</v>
      </c>
      <c r="H69" s="6"/>
    </row>
    <row r="70" spans="1:8" ht="18" customHeight="1">
      <c r="A70" s="61">
        <f t="shared" si="5"/>
        <v>43</v>
      </c>
      <c r="B70" s="2" t="str">
        <f t="shared" si="1"/>
        <v>Octubre</v>
      </c>
      <c r="C70" s="11" t="s">
        <v>17</v>
      </c>
      <c r="D70" s="36" t="s">
        <v>26</v>
      </c>
      <c r="E70" s="33">
        <f t="shared" si="4"/>
        <v>46316</v>
      </c>
      <c r="F70" s="33"/>
      <c r="G70" s="25" t="s">
        <v>39</v>
      </c>
      <c r="H70" s="6"/>
    </row>
    <row r="71" spans="1:8" ht="18" customHeight="1">
      <c r="A71" s="61">
        <f t="shared" si="5"/>
        <v>44</v>
      </c>
      <c r="B71" s="2" t="str">
        <f t="shared" ref="B71:B135" si="6">TEXT(E71,"mmmm")</f>
        <v>Octubre</v>
      </c>
      <c r="C71" s="11" t="s">
        <v>17</v>
      </c>
      <c r="D71" s="36" t="s">
        <v>26</v>
      </c>
      <c r="E71" s="33">
        <f t="shared" si="4"/>
        <v>46323</v>
      </c>
      <c r="F71" s="33"/>
      <c r="G71" s="25" t="s">
        <v>39</v>
      </c>
      <c r="H71" s="6"/>
    </row>
    <row r="72" spans="1:8" ht="18" customHeight="1">
      <c r="A72" s="61">
        <f t="shared" si="5"/>
        <v>45</v>
      </c>
      <c r="B72" s="2" t="str">
        <f t="shared" si="6"/>
        <v>Noviembre</v>
      </c>
      <c r="C72" s="11" t="s">
        <v>17</v>
      </c>
      <c r="D72" s="36" t="s">
        <v>26</v>
      </c>
      <c r="E72" s="33">
        <f t="shared" si="4"/>
        <v>46330</v>
      </c>
      <c r="F72" s="33"/>
      <c r="G72" s="25" t="s">
        <v>39</v>
      </c>
      <c r="H72" s="6"/>
    </row>
    <row r="73" spans="1:8" ht="18" customHeight="1">
      <c r="A73" s="61">
        <f t="shared" si="5"/>
        <v>46</v>
      </c>
      <c r="B73" s="2" t="str">
        <f t="shared" si="6"/>
        <v>Noviembre</v>
      </c>
      <c r="C73" s="11" t="s">
        <v>17</v>
      </c>
      <c r="D73" s="36" t="s">
        <v>26</v>
      </c>
      <c r="E73" s="33">
        <f t="shared" si="4"/>
        <v>46337</v>
      </c>
      <c r="F73" s="33"/>
      <c r="G73" s="25" t="s">
        <v>39</v>
      </c>
      <c r="H73" s="6"/>
    </row>
    <row r="74" spans="1:8" ht="18" customHeight="1">
      <c r="A74" s="61">
        <f t="shared" si="5"/>
        <v>47</v>
      </c>
      <c r="B74" s="2" t="str">
        <f t="shared" si="6"/>
        <v>Noviembre</v>
      </c>
      <c r="C74" s="11" t="s">
        <v>17</v>
      </c>
      <c r="D74" s="36" t="s">
        <v>26</v>
      </c>
      <c r="E74" s="33">
        <f t="shared" si="4"/>
        <v>46344</v>
      </c>
      <c r="F74" s="33"/>
      <c r="G74" s="25" t="s">
        <v>39</v>
      </c>
      <c r="H74" s="6"/>
    </row>
    <row r="75" spans="1:8" ht="18" customHeight="1">
      <c r="A75" s="61">
        <f t="shared" si="5"/>
        <v>48</v>
      </c>
      <c r="B75" s="2" t="str">
        <f t="shared" si="6"/>
        <v>Noviembre</v>
      </c>
      <c r="C75" s="11" t="s">
        <v>17</v>
      </c>
      <c r="D75" s="36" t="s">
        <v>26</v>
      </c>
      <c r="E75" s="33">
        <f t="shared" si="4"/>
        <v>46351</v>
      </c>
      <c r="F75" s="33"/>
      <c r="G75" s="25" t="s">
        <v>39</v>
      </c>
      <c r="H75" s="6"/>
    </row>
    <row r="76" spans="1:8" ht="18" customHeight="1">
      <c r="A76" s="61">
        <f t="shared" si="5"/>
        <v>49</v>
      </c>
      <c r="B76" s="2" t="str">
        <f t="shared" si="6"/>
        <v>Diciembre</v>
      </c>
      <c r="C76" s="11" t="s">
        <v>17</v>
      </c>
      <c r="D76" s="36" t="s">
        <v>26</v>
      </c>
      <c r="E76" s="33">
        <f t="shared" si="4"/>
        <v>46358</v>
      </c>
      <c r="F76" s="33"/>
      <c r="G76" s="25" t="s">
        <v>39</v>
      </c>
      <c r="H76" s="6"/>
    </row>
    <row r="77" spans="1:8" ht="18" customHeight="1">
      <c r="A77" s="61">
        <f t="shared" si="5"/>
        <v>50</v>
      </c>
      <c r="B77" s="2" t="str">
        <f t="shared" si="6"/>
        <v>Diciembre</v>
      </c>
      <c r="C77" s="11" t="s">
        <v>17</v>
      </c>
      <c r="D77" s="36" t="s">
        <v>26</v>
      </c>
      <c r="E77" s="33">
        <f t="shared" si="4"/>
        <v>46365</v>
      </c>
      <c r="F77" s="33"/>
      <c r="G77" s="25" t="s">
        <v>39</v>
      </c>
      <c r="H77" s="6"/>
    </row>
    <row r="78" spans="1:8" ht="18" customHeight="1">
      <c r="A78" s="61" t="e">
        <f>WEEKNUM(#REF!,2)</f>
        <v>#REF!</v>
      </c>
      <c r="B78" s="2" t="e">
        <f>TEXT(#REF!,"mmmm")</f>
        <v>#REF!</v>
      </c>
      <c r="C78" s="11" t="s">
        <v>17</v>
      </c>
      <c r="D78" s="36" t="s">
        <v>26</v>
      </c>
      <c r="E78" s="33">
        <f>E77+7</f>
        <v>46372</v>
      </c>
      <c r="F78" s="33"/>
      <c r="G78" s="16" t="s">
        <v>39</v>
      </c>
      <c r="H78" s="6"/>
    </row>
    <row r="79" spans="1:8" ht="18" customHeight="1">
      <c r="A79" s="61">
        <f>WEEKNUM(E79,2)</f>
        <v>9</v>
      </c>
      <c r="B79" s="2" t="str">
        <f>TEXT(E79,"mmmm")</f>
        <v>Febrero</v>
      </c>
      <c r="C79" s="11" t="s">
        <v>17</v>
      </c>
      <c r="D79" s="36" t="s">
        <v>126</v>
      </c>
      <c r="E79" s="33">
        <v>46079</v>
      </c>
      <c r="F79" s="33"/>
      <c r="G79" s="16" t="s">
        <v>64</v>
      </c>
      <c r="H79" s="6"/>
    </row>
    <row r="80" spans="1:8" ht="18" customHeight="1">
      <c r="A80" s="61">
        <f>WEEKNUM(E78,2)</f>
        <v>51</v>
      </c>
      <c r="B80" s="2" t="str">
        <f>TEXT(E78,"mmmm")</f>
        <v>Diciembre</v>
      </c>
      <c r="C80" s="11" t="s">
        <v>17</v>
      </c>
      <c r="D80" s="36" t="s">
        <v>126</v>
      </c>
      <c r="E80" s="33">
        <v>46101</v>
      </c>
      <c r="F80" s="33"/>
      <c r="G80" s="25" t="s">
        <v>64</v>
      </c>
      <c r="H80" s="6" t="s">
        <v>140</v>
      </c>
    </row>
    <row r="81" spans="1:8" ht="18" customHeight="1">
      <c r="A81" s="61">
        <f t="shared" si="5"/>
        <v>17</v>
      </c>
      <c r="B81" s="2" t="str">
        <f t="shared" si="6"/>
        <v>Abril</v>
      </c>
      <c r="C81" s="11" t="s">
        <v>17</v>
      </c>
      <c r="D81" s="36" t="s">
        <v>126</v>
      </c>
      <c r="E81" s="33">
        <v>46136</v>
      </c>
      <c r="F81" s="33"/>
      <c r="G81" s="25" t="s">
        <v>39</v>
      </c>
      <c r="H81" s="6"/>
    </row>
    <row r="82" spans="1:8" ht="18" customHeight="1">
      <c r="A82" s="61">
        <f t="shared" si="5"/>
        <v>21</v>
      </c>
      <c r="B82" s="2" t="str">
        <f t="shared" si="6"/>
        <v>Mayo</v>
      </c>
      <c r="C82" s="11" t="s">
        <v>17</v>
      </c>
      <c r="D82" s="36" t="s">
        <v>126</v>
      </c>
      <c r="E82" s="33">
        <f>E81+30</f>
        <v>46166</v>
      </c>
      <c r="F82" s="33"/>
      <c r="G82" s="25" t="s">
        <v>39</v>
      </c>
      <c r="H82" s="6"/>
    </row>
    <row r="83" spans="1:8" ht="18" customHeight="1">
      <c r="A83" s="61">
        <f t="shared" si="5"/>
        <v>26</v>
      </c>
      <c r="B83" s="2" t="str">
        <f t="shared" si="6"/>
        <v>Junio</v>
      </c>
      <c r="C83" s="11" t="s">
        <v>17</v>
      </c>
      <c r="D83" s="36" t="s">
        <v>126</v>
      </c>
      <c r="E83" s="33">
        <f t="shared" ref="E83:E89" si="7">E82+30</f>
        <v>46196</v>
      </c>
      <c r="F83" s="33"/>
      <c r="G83" s="25" t="s">
        <v>39</v>
      </c>
      <c r="H83" s="6"/>
    </row>
    <row r="84" spans="1:8" ht="18" customHeight="1">
      <c r="A84" s="61">
        <f t="shared" si="5"/>
        <v>30</v>
      </c>
      <c r="B84" s="2" t="str">
        <f t="shared" si="6"/>
        <v>Julio</v>
      </c>
      <c r="C84" s="11" t="s">
        <v>17</v>
      </c>
      <c r="D84" s="36" t="s">
        <v>126</v>
      </c>
      <c r="E84" s="33">
        <f t="shared" si="7"/>
        <v>46226</v>
      </c>
      <c r="F84" s="33"/>
      <c r="G84" s="25" t="s">
        <v>39</v>
      </c>
      <c r="H84" s="6"/>
    </row>
    <row r="85" spans="1:8" ht="18" customHeight="1">
      <c r="A85" s="61">
        <f t="shared" si="5"/>
        <v>34</v>
      </c>
      <c r="B85" s="2" t="str">
        <f t="shared" si="6"/>
        <v>Agosto</v>
      </c>
      <c r="C85" s="11" t="s">
        <v>17</v>
      </c>
      <c r="D85" s="36" t="s">
        <v>126</v>
      </c>
      <c r="E85" s="33">
        <f t="shared" si="7"/>
        <v>46256</v>
      </c>
      <c r="F85" s="33"/>
      <c r="G85" s="25" t="s">
        <v>39</v>
      </c>
      <c r="H85" s="6"/>
    </row>
    <row r="86" spans="1:8" ht="18" customHeight="1">
      <c r="A86" s="61">
        <f t="shared" si="5"/>
        <v>39</v>
      </c>
      <c r="B86" s="2" t="str">
        <f t="shared" si="6"/>
        <v>Setiembre</v>
      </c>
      <c r="C86" s="11" t="s">
        <v>17</v>
      </c>
      <c r="D86" s="36" t="s">
        <v>126</v>
      </c>
      <c r="E86" s="33">
        <f t="shared" si="7"/>
        <v>46286</v>
      </c>
      <c r="F86" s="33"/>
      <c r="G86" s="25" t="s">
        <v>39</v>
      </c>
      <c r="H86" s="6"/>
    </row>
    <row r="87" spans="1:8" ht="18" customHeight="1">
      <c r="A87" s="61">
        <f t="shared" si="5"/>
        <v>43</v>
      </c>
      <c r="B87" s="2" t="str">
        <f t="shared" si="6"/>
        <v>Octubre</v>
      </c>
      <c r="C87" s="11" t="s">
        <v>17</v>
      </c>
      <c r="D87" s="36" t="s">
        <v>126</v>
      </c>
      <c r="E87" s="33">
        <f t="shared" si="7"/>
        <v>46316</v>
      </c>
      <c r="F87" s="33"/>
      <c r="G87" s="25" t="s">
        <v>39</v>
      </c>
      <c r="H87" s="6"/>
    </row>
    <row r="88" spans="1:8" ht="18" customHeight="1">
      <c r="A88" s="61">
        <f t="shared" si="5"/>
        <v>47</v>
      </c>
      <c r="B88" s="2" t="str">
        <f t="shared" si="6"/>
        <v>Noviembre</v>
      </c>
      <c r="C88" s="11" t="s">
        <v>17</v>
      </c>
      <c r="D88" s="36" t="s">
        <v>126</v>
      </c>
      <c r="E88" s="33">
        <f t="shared" si="7"/>
        <v>46346</v>
      </c>
      <c r="F88" s="33"/>
      <c r="G88" s="25" t="s">
        <v>39</v>
      </c>
      <c r="H88" s="6"/>
    </row>
    <row r="89" spans="1:8" ht="18" customHeight="1">
      <c r="A89" s="61">
        <f t="shared" si="5"/>
        <v>51</v>
      </c>
      <c r="B89" s="2" t="str">
        <f t="shared" si="6"/>
        <v>Diciembre</v>
      </c>
      <c r="C89" s="11" t="s">
        <v>17</v>
      </c>
      <c r="D89" s="36" t="s">
        <v>126</v>
      </c>
      <c r="E89" s="33">
        <f t="shared" si="7"/>
        <v>46376</v>
      </c>
      <c r="F89" s="33"/>
      <c r="G89" s="25" t="s">
        <v>39</v>
      </c>
      <c r="H89" s="6"/>
    </row>
    <row r="90" spans="1:8" ht="18" customHeight="1">
      <c r="A90" s="61">
        <f t="shared" si="5"/>
        <v>2</v>
      </c>
      <c r="B90" s="2" t="str">
        <f t="shared" si="6"/>
        <v>Enero</v>
      </c>
      <c r="C90" s="11" t="s">
        <v>17</v>
      </c>
      <c r="D90" s="12" t="s">
        <v>3</v>
      </c>
      <c r="E90" s="33">
        <v>46028</v>
      </c>
      <c r="F90" s="33"/>
      <c r="G90" s="13" t="s">
        <v>39</v>
      </c>
      <c r="H90" s="6"/>
    </row>
    <row r="91" spans="1:8" ht="18" customHeight="1">
      <c r="A91" s="61">
        <f t="shared" si="5"/>
        <v>2</v>
      </c>
      <c r="B91" s="2" t="str">
        <f t="shared" si="6"/>
        <v>Enero</v>
      </c>
      <c r="C91" s="11" t="s">
        <v>17</v>
      </c>
      <c r="D91" s="12" t="s">
        <v>18</v>
      </c>
      <c r="E91" s="33">
        <v>46028</v>
      </c>
      <c r="F91" s="33"/>
      <c r="G91" s="13" t="s">
        <v>39</v>
      </c>
      <c r="H91" s="6"/>
    </row>
    <row r="92" spans="1:8" ht="18" customHeight="1">
      <c r="A92" s="61">
        <f t="shared" si="5"/>
        <v>9</v>
      </c>
      <c r="B92" s="2" t="str">
        <f t="shared" si="6"/>
        <v>Febrero</v>
      </c>
      <c r="C92" s="11" t="s">
        <v>17</v>
      </c>
      <c r="D92" s="12" t="s">
        <v>19</v>
      </c>
      <c r="E92" s="33">
        <v>46079</v>
      </c>
      <c r="F92" s="33">
        <f>TablaPrevencionista[[#This Row],[FECHA PROGRAMADA]]</f>
        <v>46079</v>
      </c>
      <c r="G92" s="13" t="s">
        <v>64</v>
      </c>
      <c r="H92" s="6"/>
    </row>
    <row r="93" spans="1:8" ht="18" customHeight="1">
      <c r="A93" s="61">
        <f t="shared" si="5"/>
        <v>2</v>
      </c>
      <c r="B93" s="2" t="str">
        <f t="shared" si="6"/>
        <v>Enero</v>
      </c>
      <c r="C93" s="11" t="s">
        <v>17</v>
      </c>
      <c r="D93" s="12" t="s">
        <v>20</v>
      </c>
      <c r="E93" s="33">
        <v>46028</v>
      </c>
      <c r="F93" s="33"/>
      <c r="G93" s="13" t="s">
        <v>39</v>
      </c>
      <c r="H93" s="6"/>
    </row>
    <row r="94" spans="1:8" ht="18" customHeight="1">
      <c r="A94" s="61">
        <f t="shared" si="5"/>
        <v>2</v>
      </c>
      <c r="B94" s="2" t="str">
        <f t="shared" si="6"/>
        <v>Enero</v>
      </c>
      <c r="C94" s="11" t="s">
        <v>17</v>
      </c>
      <c r="D94" s="12" t="s">
        <v>21</v>
      </c>
      <c r="E94" s="33">
        <v>46028</v>
      </c>
      <c r="F94" s="33"/>
      <c r="G94" s="13" t="s">
        <v>39</v>
      </c>
      <c r="H94" s="6"/>
    </row>
    <row r="95" spans="1:8" ht="18" customHeight="1">
      <c r="A95" s="61">
        <f t="shared" si="5"/>
        <v>16</v>
      </c>
      <c r="B95" s="2" t="str">
        <f t="shared" si="6"/>
        <v>Abril</v>
      </c>
      <c r="C95" s="11" t="s">
        <v>17</v>
      </c>
      <c r="D95" s="12" t="s">
        <v>22</v>
      </c>
      <c r="E95" s="33">
        <v>46127</v>
      </c>
      <c r="F95" s="33"/>
      <c r="G95" s="13" t="s">
        <v>39</v>
      </c>
      <c r="H95" s="6"/>
    </row>
    <row r="96" spans="1:8" ht="18" customHeight="1">
      <c r="A96" s="61">
        <f t="shared" si="5"/>
        <v>33</v>
      </c>
      <c r="B96" s="2" t="str">
        <f t="shared" si="6"/>
        <v>Agosto</v>
      </c>
      <c r="C96" s="11" t="s">
        <v>17</v>
      </c>
      <c r="D96" s="12" t="s">
        <v>22</v>
      </c>
      <c r="E96" s="33">
        <f>E95+120</f>
        <v>46247</v>
      </c>
      <c r="F96" s="33"/>
      <c r="G96" s="13" t="s">
        <v>39</v>
      </c>
      <c r="H96" s="6"/>
    </row>
    <row r="97" spans="1:8" ht="18" customHeight="1">
      <c r="A97" s="61">
        <f t="shared" si="5"/>
        <v>50</v>
      </c>
      <c r="B97" s="2" t="str">
        <f t="shared" si="6"/>
        <v>Diciembre</v>
      </c>
      <c r="C97" s="11" t="s">
        <v>17</v>
      </c>
      <c r="D97" s="12" t="s">
        <v>22</v>
      </c>
      <c r="E97" s="33">
        <f>E96+120</f>
        <v>46367</v>
      </c>
      <c r="F97" s="33"/>
      <c r="G97" s="13" t="s">
        <v>39</v>
      </c>
      <c r="H97" s="6"/>
    </row>
    <row r="98" spans="1:8" ht="18" customHeight="1">
      <c r="A98" s="61">
        <f t="shared" si="5"/>
        <v>4</v>
      </c>
      <c r="B98" s="2" t="str">
        <f t="shared" si="6"/>
        <v>Enero</v>
      </c>
      <c r="C98" s="9" t="s">
        <v>23</v>
      </c>
      <c r="D98" s="10" t="s">
        <v>87</v>
      </c>
      <c r="E98" s="34">
        <f>F98</f>
        <v>46041</v>
      </c>
      <c r="F98" s="34">
        <v>46041</v>
      </c>
      <c r="G98" s="5" t="s">
        <v>64</v>
      </c>
      <c r="H98" s="6"/>
    </row>
    <row r="99" spans="1:8" ht="18" customHeight="1">
      <c r="A99" s="61">
        <f t="shared" si="5"/>
        <v>5</v>
      </c>
      <c r="B99" s="2" t="str">
        <f t="shared" si="6"/>
        <v>Enero</v>
      </c>
      <c r="C99" s="9" t="s">
        <v>23</v>
      </c>
      <c r="D99" s="10" t="s">
        <v>87</v>
      </c>
      <c r="E99" s="34">
        <f>F99</f>
        <v>46048</v>
      </c>
      <c r="F99" s="34">
        <v>46048</v>
      </c>
      <c r="G99" s="5" t="s">
        <v>64</v>
      </c>
      <c r="H99" s="6"/>
    </row>
    <row r="100" spans="1:8" ht="18" customHeight="1">
      <c r="A100" s="61">
        <f t="shared" si="5"/>
        <v>3</v>
      </c>
      <c r="B100" s="2" t="str">
        <f t="shared" si="6"/>
        <v>Enero</v>
      </c>
      <c r="C100" s="7" t="s">
        <v>1</v>
      </c>
      <c r="D100" s="8" t="s">
        <v>84</v>
      </c>
      <c r="E100" s="19">
        <f t="shared" ref="E100:E113" si="8">F100</f>
        <v>46035</v>
      </c>
      <c r="F100" s="19">
        <v>46035</v>
      </c>
      <c r="G100" s="5" t="s">
        <v>64</v>
      </c>
      <c r="H100" s="6"/>
    </row>
    <row r="101" spans="1:8" ht="20.399999999999999">
      <c r="A101" s="61">
        <f t="shared" si="5"/>
        <v>3</v>
      </c>
      <c r="B101" s="2" t="str">
        <f t="shared" si="6"/>
        <v>Enero</v>
      </c>
      <c r="C101" s="7" t="s">
        <v>1</v>
      </c>
      <c r="D101" s="8" t="s">
        <v>85</v>
      </c>
      <c r="E101" s="19">
        <f t="shared" si="8"/>
        <v>46038</v>
      </c>
      <c r="F101" s="19">
        <v>46038</v>
      </c>
      <c r="G101" s="5" t="s">
        <v>64</v>
      </c>
      <c r="H101" s="6"/>
    </row>
    <row r="102" spans="1:8">
      <c r="A102" s="61">
        <f t="shared" si="5"/>
        <v>3</v>
      </c>
      <c r="B102" s="2" t="str">
        <f t="shared" si="6"/>
        <v>Enero</v>
      </c>
      <c r="C102" s="7" t="s">
        <v>1</v>
      </c>
      <c r="D102" s="8" t="s">
        <v>86</v>
      </c>
      <c r="E102" s="19">
        <f t="shared" si="8"/>
        <v>46038</v>
      </c>
      <c r="F102" s="19">
        <v>46038</v>
      </c>
      <c r="G102" s="5" t="s">
        <v>64</v>
      </c>
      <c r="H102" s="6"/>
    </row>
    <row r="103" spans="1:8">
      <c r="A103" s="61">
        <f>WEEKNUM(E103,2)</f>
        <v>5</v>
      </c>
      <c r="B103" s="2" t="str">
        <f>TEXT(E103,"mmmm")</f>
        <v>Enero</v>
      </c>
      <c r="C103" s="7" t="s">
        <v>1</v>
      </c>
      <c r="D103" s="8" t="s">
        <v>89</v>
      </c>
      <c r="E103" s="19">
        <f>F103</f>
        <v>46049</v>
      </c>
      <c r="F103" s="19">
        <v>46049</v>
      </c>
      <c r="G103" s="5" t="s">
        <v>64</v>
      </c>
      <c r="H103" s="6"/>
    </row>
    <row r="104" spans="1:8">
      <c r="A104" s="61">
        <f t="shared" si="5"/>
        <v>5</v>
      </c>
      <c r="B104" s="2" t="str">
        <f t="shared" si="6"/>
        <v>Enero</v>
      </c>
      <c r="C104" s="7" t="s">
        <v>1</v>
      </c>
      <c r="D104" s="8" t="s">
        <v>90</v>
      </c>
      <c r="E104" s="19">
        <f t="shared" si="8"/>
        <v>46049</v>
      </c>
      <c r="F104" s="19">
        <v>46049</v>
      </c>
      <c r="G104" s="5" t="s">
        <v>64</v>
      </c>
      <c r="H104" s="6"/>
    </row>
    <row r="105" spans="1:8" ht="18" customHeight="1">
      <c r="A105" s="61">
        <f t="shared" si="5"/>
        <v>5</v>
      </c>
      <c r="B105" s="2" t="str">
        <f t="shared" si="6"/>
        <v>Enero</v>
      </c>
      <c r="C105" s="7" t="s">
        <v>1</v>
      </c>
      <c r="D105" s="8" t="s">
        <v>91</v>
      </c>
      <c r="E105" s="19">
        <f t="shared" si="8"/>
        <v>46050</v>
      </c>
      <c r="F105" s="19">
        <v>46050</v>
      </c>
      <c r="G105" s="5" t="s">
        <v>64</v>
      </c>
      <c r="H105" s="6"/>
    </row>
    <row r="106" spans="1:8" ht="18" customHeight="1">
      <c r="A106" s="61">
        <f t="shared" si="5"/>
        <v>5</v>
      </c>
      <c r="B106" s="2" t="str">
        <f t="shared" si="6"/>
        <v>Enero</v>
      </c>
      <c r="C106" s="7" t="s">
        <v>1</v>
      </c>
      <c r="D106" s="8" t="s">
        <v>92</v>
      </c>
      <c r="E106" s="19">
        <f t="shared" si="8"/>
        <v>46050</v>
      </c>
      <c r="F106" s="19">
        <v>46050</v>
      </c>
      <c r="G106" s="5" t="s">
        <v>64</v>
      </c>
      <c r="H106" s="6"/>
    </row>
    <row r="107" spans="1:8" ht="18" customHeight="1">
      <c r="A107" s="61">
        <f t="shared" si="5"/>
        <v>5</v>
      </c>
      <c r="B107" s="2" t="str">
        <f t="shared" si="6"/>
        <v>Enero</v>
      </c>
      <c r="C107" s="7" t="s">
        <v>1</v>
      </c>
      <c r="D107" s="8" t="s">
        <v>95</v>
      </c>
      <c r="E107" s="19">
        <f t="shared" si="8"/>
        <v>46050</v>
      </c>
      <c r="F107" s="19">
        <v>46050</v>
      </c>
      <c r="G107" s="5" t="s">
        <v>64</v>
      </c>
      <c r="H107" s="6"/>
    </row>
    <row r="108" spans="1:8" ht="18" customHeight="1">
      <c r="A108" s="61">
        <f t="shared" si="5"/>
        <v>5</v>
      </c>
      <c r="B108" s="2" t="str">
        <f t="shared" si="6"/>
        <v>Enero</v>
      </c>
      <c r="C108" s="7" t="s">
        <v>1</v>
      </c>
      <c r="D108" s="8" t="s">
        <v>96</v>
      </c>
      <c r="E108" s="19">
        <f t="shared" si="8"/>
        <v>46052</v>
      </c>
      <c r="F108" s="19">
        <v>46052</v>
      </c>
      <c r="G108" s="5" t="s">
        <v>64</v>
      </c>
      <c r="H108" s="6"/>
    </row>
    <row r="109" spans="1:8" ht="18" customHeight="1">
      <c r="A109" s="61">
        <f t="shared" si="5"/>
        <v>5</v>
      </c>
      <c r="B109" s="2" t="str">
        <f t="shared" si="6"/>
        <v>Enero</v>
      </c>
      <c r="C109" s="7" t="s">
        <v>1</v>
      </c>
      <c r="D109" s="8" t="s">
        <v>97</v>
      </c>
      <c r="E109" s="19">
        <f t="shared" si="8"/>
        <v>46052</v>
      </c>
      <c r="F109" s="19">
        <v>46052</v>
      </c>
      <c r="G109" s="5" t="s">
        <v>64</v>
      </c>
      <c r="H109" s="6"/>
    </row>
    <row r="110" spans="1:8" ht="18" customHeight="1">
      <c r="A110" s="61">
        <f t="shared" si="5"/>
        <v>5</v>
      </c>
      <c r="B110" s="2" t="str">
        <f t="shared" si="6"/>
        <v>Enero</v>
      </c>
      <c r="C110" s="7" t="s">
        <v>1</v>
      </c>
      <c r="D110" s="8" t="s">
        <v>98</v>
      </c>
      <c r="E110" s="19">
        <f t="shared" si="8"/>
        <v>46052</v>
      </c>
      <c r="F110" s="19">
        <v>46052</v>
      </c>
      <c r="G110" s="5" t="s">
        <v>64</v>
      </c>
      <c r="H110" s="6"/>
    </row>
    <row r="111" spans="1:8" ht="18" customHeight="1">
      <c r="A111" s="61">
        <f t="shared" si="5"/>
        <v>9</v>
      </c>
      <c r="B111" s="2" t="str">
        <f t="shared" si="6"/>
        <v>Febrero</v>
      </c>
      <c r="C111" s="7" t="s">
        <v>1</v>
      </c>
      <c r="D111" s="8" t="s">
        <v>101</v>
      </c>
      <c r="E111" s="19">
        <f t="shared" si="8"/>
        <v>46077</v>
      </c>
      <c r="F111" s="19">
        <v>46077</v>
      </c>
      <c r="G111" s="5" t="s">
        <v>64</v>
      </c>
      <c r="H111" s="6"/>
    </row>
    <row r="112" spans="1:8" ht="18" customHeight="1">
      <c r="A112" s="61">
        <f t="shared" si="5"/>
        <v>9</v>
      </c>
      <c r="B112" s="2" t="str">
        <f t="shared" si="6"/>
        <v>Febrero</v>
      </c>
      <c r="C112" s="7" t="s">
        <v>1</v>
      </c>
      <c r="D112" s="8" t="s">
        <v>104</v>
      </c>
      <c r="E112" s="19">
        <f t="shared" si="8"/>
        <v>46079</v>
      </c>
      <c r="F112" s="19">
        <v>46079</v>
      </c>
      <c r="G112" s="5" t="s">
        <v>64</v>
      </c>
      <c r="H112" s="6"/>
    </row>
    <row r="113" spans="1:8" ht="20.399999999999999">
      <c r="A113" s="61">
        <f t="shared" si="5"/>
        <v>9</v>
      </c>
      <c r="B113" s="2" t="str">
        <f t="shared" si="6"/>
        <v>Febrero</v>
      </c>
      <c r="C113" s="7" t="s">
        <v>1</v>
      </c>
      <c r="D113" s="8" t="s">
        <v>105</v>
      </c>
      <c r="E113" s="19">
        <f t="shared" si="8"/>
        <v>46081</v>
      </c>
      <c r="F113" s="19">
        <v>46081</v>
      </c>
      <c r="G113" s="5" t="s">
        <v>64</v>
      </c>
      <c r="H113" s="6"/>
    </row>
    <row r="114" spans="1:8">
      <c r="A114" s="61">
        <f t="shared" si="5"/>
        <v>13</v>
      </c>
      <c r="B114" s="2" t="str">
        <f t="shared" si="6"/>
        <v>Marzo</v>
      </c>
      <c r="C114" s="7" t="s">
        <v>1</v>
      </c>
      <c r="D114" s="8" t="s">
        <v>129</v>
      </c>
      <c r="E114" s="19">
        <v>46105</v>
      </c>
      <c r="F114" s="19">
        <v>46105</v>
      </c>
      <c r="G114" s="5" t="s">
        <v>64</v>
      </c>
      <c r="H114" s="6" t="s">
        <v>145</v>
      </c>
    </row>
    <row r="115" spans="1:8">
      <c r="A115" s="61">
        <f>WEEKNUM(E115,2)</f>
        <v>14</v>
      </c>
      <c r="B115" s="2" t="str">
        <f>TEXT(E115,"mmmm")</f>
        <v>Marzo</v>
      </c>
      <c r="C115" s="7" t="s">
        <v>1</v>
      </c>
      <c r="D115" s="8" t="s">
        <v>139</v>
      </c>
      <c r="E115" s="19">
        <v>46111</v>
      </c>
      <c r="F115" s="19">
        <f>TablaPrevencionista[[#This Row],[FECHA PROGRAMADA]]</f>
        <v>46111</v>
      </c>
      <c r="G115" s="16" t="s">
        <v>64</v>
      </c>
      <c r="H115" s="6"/>
    </row>
    <row r="116" spans="1:8" ht="18" customHeight="1">
      <c r="A116" s="61">
        <f t="shared" si="5"/>
        <v>15</v>
      </c>
      <c r="B116" s="2" t="str">
        <f t="shared" si="6"/>
        <v>Abril</v>
      </c>
      <c r="C116" s="7" t="s">
        <v>1</v>
      </c>
      <c r="D116" s="8" t="s">
        <v>141</v>
      </c>
      <c r="E116" s="19">
        <f>E114+15</f>
        <v>46120</v>
      </c>
      <c r="F116" s="19"/>
      <c r="G116" s="5" t="s">
        <v>39</v>
      </c>
      <c r="H116" s="6"/>
    </row>
    <row r="117" spans="1:8" ht="18" customHeight="1">
      <c r="A117" s="61">
        <f t="shared" si="5"/>
        <v>19</v>
      </c>
      <c r="B117" s="2" t="str">
        <f t="shared" si="6"/>
        <v>Mayo</v>
      </c>
      <c r="C117" s="7" t="s">
        <v>1</v>
      </c>
      <c r="D117" s="8" t="s">
        <v>142</v>
      </c>
      <c r="E117" s="19">
        <f>E116+30</f>
        <v>46150</v>
      </c>
      <c r="F117" s="19"/>
      <c r="G117" s="5" t="s">
        <v>39</v>
      </c>
      <c r="H117" s="6"/>
    </row>
    <row r="118" spans="1:8" ht="18" customHeight="1">
      <c r="A118" s="61">
        <f t="shared" si="5"/>
        <v>23</v>
      </c>
      <c r="B118" s="2" t="str">
        <f t="shared" si="6"/>
        <v>Junio</v>
      </c>
      <c r="C118" s="7" t="s">
        <v>1</v>
      </c>
      <c r="D118" s="8" t="s">
        <v>143</v>
      </c>
      <c r="E118" s="19">
        <f>E117+30</f>
        <v>46180</v>
      </c>
      <c r="F118" s="19"/>
      <c r="G118" s="5" t="s">
        <v>39</v>
      </c>
      <c r="H118" s="6"/>
    </row>
    <row r="119" spans="1:8" ht="18" customHeight="1">
      <c r="A119" s="61">
        <f t="shared" ref="A119:A121" si="9">WEEKNUM(E119,2)</f>
        <v>28</v>
      </c>
      <c r="B119" s="2" t="str">
        <f t="shared" ref="B119:B121" si="10">TEXT(E119,"mmmm")</f>
        <v>Julio</v>
      </c>
      <c r="C119" s="7" t="s">
        <v>1</v>
      </c>
      <c r="D119" s="8" t="s">
        <v>62</v>
      </c>
      <c r="E119" s="19">
        <f t="shared" ref="E119:E123" si="11">E118+30</f>
        <v>46210</v>
      </c>
      <c r="F119" s="19"/>
      <c r="G119" s="5" t="s">
        <v>39</v>
      </c>
      <c r="H119" s="6"/>
    </row>
    <row r="120" spans="1:8" ht="18" customHeight="1">
      <c r="A120" s="61">
        <f t="shared" si="9"/>
        <v>32</v>
      </c>
      <c r="B120" s="2" t="str">
        <f t="shared" si="10"/>
        <v>Agosto</v>
      </c>
      <c r="C120" s="7" t="s">
        <v>1</v>
      </c>
      <c r="D120" s="8" t="s">
        <v>62</v>
      </c>
      <c r="E120" s="19">
        <f t="shared" si="11"/>
        <v>46240</v>
      </c>
      <c r="F120" s="19"/>
      <c r="G120" s="5" t="s">
        <v>39</v>
      </c>
      <c r="H120" s="6"/>
    </row>
    <row r="121" spans="1:8" ht="18" customHeight="1">
      <c r="A121" s="61">
        <f t="shared" si="9"/>
        <v>36</v>
      </c>
      <c r="B121" s="2" t="str">
        <f t="shared" si="10"/>
        <v>Setiembre</v>
      </c>
      <c r="C121" s="7" t="s">
        <v>1</v>
      </c>
      <c r="D121" s="8" t="s">
        <v>62</v>
      </c>
      <c r="E121" s="19">
        <f t="shared" si="11"/>
        <v>46270</v>
      </c>
      <c r="F121" s="19"/>
      <c r="G121" s="5" t="s">
        <v>39</v>
      </c>
      <c r="H121" s="6"/>
    </row>
    <row r="122" spans="1:8" ht="18" customHeight="1">
      <c r="A122" s="61">
        <f t="shared" ref="A122:A124" si="12">WEEKNUM(E122,2)</f>
        <v>41</v>
      </c>
      <c r="B122" s="2" t="str">
        <f t="shared" ref="B122:B124" si="13">TEXT(E122,"mmmm")</f>
        <v>Octubre</v>
      </c>
      <c r="C122" s="7" t="s">
        <v>1</v>
      </c>
      <c r="D122" s="8" t="s">
        <v>62</v>
      </c>
      <c r="E122" s="19">
        <f t="shared" si="11"/>
        <v>46300</v>
      </c>
      <c r="F122" s="19"/>
      <c r="G122" s="5" t="s">
        <v>39</v>
      </c>
      <c r="H122" s="6"/>
    </row>
    <row r="123" spans="1:8" ht="18" customHeight="1">
      <c r="A123" s="61">
        <f t="shared" si="12"/>
        <v>45</v>
      </c>
      <c r="B123" s="2" t="str">
        <f t="shared" si="13"/>
        <v>Noviembre</v>
      </c>
      <c r="C123" s="7" t="s">
        <v>1</v>
      </c>
      <c r="D123" s="8" t="s">
        <v>62</v>
      </c>
      <c r="E123" s="19">
        <f t="shared" si="11"/>
        <v>46330</v>
      </c>
      <c r="F123" s="19"/>
      <c r="G123" s="5" t="s">
        <v>39</v>
      </c>
      <c r="H123" s="6"/>
    </row>
    <row r="124" spans="1:8" ht="18" customHeight="1">
      <c r="A124" s="61">
        <f t="shared" si="12"/>
        <v>49</v>
      </c>
      <c r="B124" s="2" t="str">
        <f t="shared" si="13"/>
        <v>Diciembre</v>
      </c>
      <c r="C124" s="7" t="s">
        <v>1</v>
      </c>
      <c r="D124" s="8" t="s">
        <v>62</v>
      </c>
      <c r="E124" s="19">
        <f>E123+30</f>
        <v>46360</v>
      </c>
      <c r="F124" s="19"/>
      <c r="G124" s="5" t="s">
        <v>39</v>
      </c>
      <c r="H124" s="6"/>
    </row>
    <row r="125" spans="1:8" ht="18" customHeight="1">
      <c r="A125" s="61">
        <f t="shared" si="5"/>
        <v>15</v>
      </c>
      <c r="B125" s="2" t="str">
        <f t="shared" si="6"/>
        <v>Abril</v>
      </c>
      <c r="C125" s="7" t="s">
        <v>1</v>
      </c>
      <c r="D125" s="8" t="s">
        <v>6</v>
      </c>
      <c r="E125" s="19">
        <v>46120</v>
      </c>
      <c r="F125" s="19"/>
      <c r="G125" s="5" t="s">
        <v>39</v>
      </c>
      <c r="H125" s="6"/>
    </row>
    <row r="126" spans="1:8" ht="18" customHeight="1">
      <c r="A126" s="61">
        <f>WEEKNUM(E126,2)</f>
        <v>32</v>
      </c>
      <c r="B126" s="2" t="str">
        <f>TEXT(E126,"mmmm")</f>
        <v>Agosto</v>
      </c>
      <c r="C126" s="7" t="s">
        <v>1</v>
      </c>
      <c r="D126" s="8" t="s">
        <v>6</v>
      </c>
      <c r="E126" s="19">
        <f>E125+118</f>
        <v>46238</v>
      </c>
      <c r="F126" s="19"/>
      <c r="G126" s="5" t="s">
        <v>39</v>
      </c>
      <c r="H126" s="6"/>
    </row>
    <row r="127" spans="1:8" ht="18" customHeight="1">
      <c r="A127" s="61">
        <f>WEEKNUM(E127,2)</f>
        <v>49</v>
      </c>
      <c r="B127" s="2" t="str">
        <f>TEXT(E127,"mmmm")</f>
        <v>Diciembre</v>
      </c>
      <c r="C127" s="7" t="s">
        <v>1</v>
      </c>
      <c r="D127" s="8" t="s">
        <v>6</v>
      </c>
      <c r="E127" s="19">
        <f>E126+119</f>
        <v>46357</v>
      </c>
      <c r="F127" s="19"/>
      <c r="G127" s="5" t="s">
        <v>39</v>
      </c>
      <c r="H127" s="6"/>
    </row>
    <row r="128" spans="1:8" ht="18" customHeight="1">
      <c r="A128" s="61">
        <f t="shared" ref="A128:A133" si="14">WEEKNUM(E128,2)</f>
        <v>5</v>
      </c>
      <c r="B128" s="2" t="str">
        <f t="shared" ref="B128:B133" si="15">TEXT(E128,"mmmm")</f>
        <v>Enero</v>
      </c>
      <c r="C128" s="7" t="s">
        <v>1</v>
      </c>
      <c r="D128" s="8" t="s">
        <v>144</v>
      </c>
      <c r="E128" s="19">
        <f>F128</f>
        <v>46049</v>
      </c>
      <c r="F128" s="19">
        <v>46049</v>
      </c>
      <c r="G128" s="16" t="s">
        <v>64</v>
      </c>
      <c r="H128" s="6"/>
    </row>
    <row r="129" spans="1:8" ht="18" customHeight="1">
      <c r="A129" s="61">
        <f>WEEKNUM(E129,2)</f>
        <v>13</v>
      </c>
      <c r="B129" s="2" t="str">
        <f>TEXT(E129,"mmmm")</f>
        <v>Marzo</v>
      </c>
      <c r="C129" s="7" t="s">
        <v>1</v>
      </c>
      <c r="D129" s="8" t="s">
        <v>26</v>
      </c>
      <c r="E129" s="19">
        <v>46105</v>
      </c>
      <c r="F129" s="19"/>
      <c r="G129" s="16" t="s">
        <v>64</v>
      </c>
      <c r="H129" s="6" t="s">
        <v>145</v>
      </c>
    </row>
    <row r="130" spans="1:8" ht="18" customHeight="1">
      <c r="A130" s="61">
        <f t="shared" si="14"/>
        <v>19</v>
      </c>
      <c r="B130" s="2" t="str">
        <f t="shared" si="15"/>
        <v>Mayo</v>
      </c>
      <c r="C130" s="7" t="s">
        <v>1</v>
      </c>
      <c r="D130" s="8" t="s">
        <v>26</v>
      </c>
      <c r="E130" s="19">
        <v>46148</v>
      </c>
      <c r="F130" s="19"/>
      <c r="G130" s="5" t="s">
        <v>39</v>
      </c>
      <c r="H130" s="6"/>
    </row>
    <row r="131" spans="1:8" ht="18" customHeight="1">
      <c r="A131" s="61">
        <f>WEEKNUM(E131,2)</f>
        <v>27</v>
      </c>
      <c r="B131" s="2" t="str">
        <f>TEXT(E131,"mmmm")</f>
        <v>Julio</v>
      </c>
      <c r="C131" s="7" t="s">
        <v>1</v>
      </c>
      <c r="D131" s="8" t="s">
        <v>26</v>
      </c>
      <c r="E131" s="19">
        <f>E130+60</f>
        <v>46208</v>
      </c>
      <c r="F131" s="19"/>
      <c r="G131" s="5" t="s">
        <v>39</v>
      </c>
      <c r="H131" s="6"/>
    </row>
    <row r="132" spans="1:8" ht="18" customHeight="1">
      <c r="A132" s="61">
        <f t="shared" si="14"/>
        <v>36</v>
      </c>
      <c r="B132" s="2" t="str">
        <f t="shared" si="15"/>
        <v>Setiembre</v>
      </c>
      <c r="C132" s="7" t="s">
        <v>1</v>
      </c>
      <c r="D132" s="8" t="s">
        <v>26</v>
      </c>
      <c r="E132" s="19">
        <f t="shared" ref="E132:E133" si="16">E131+60</f>
        <v>46268</v>
      </c>
      <c r="F132" s="19"/>
      <c r="G132" s="5" t="s">
        <v>39</v>
      </c>
      <c r="H132" s="6"/>
    </row>
    <row r="133" spans="1:8" ht="18" customHeight="1">
      <c r="A133" s="61">
        <f t="shared" si="14"/>
        <v>45</v>
      </c>
      <c r="B133" s="2" t="str">
        <f t="shared" si="15"/>
        <v>Noviembre</v>
      </c>
      <c r="C133" s="7" t="s">
        <v>1</v>
      </c>
      <c r="D133" s="8" t="s">
        <v>26</v>
      </c>
      <c r="E133" s="19">
        <f t="shared" si="16"/>
        <v>46328</v>
      </c>
      <c r="F133" s="19"/>
      <c r="G133" s="5" t="s">
        <v>39</v>
      </c>
      <c r="H133" s="6"/>
    </row>
    <row r="134" spans="1:8" ht="18" customHeight="1">
      <c r="A134" s="61">
        <f t="shared" si="5"/>
        <v>2</v>
      </c>
      <c r="B134" s="2" t="str">
        <f t="shared" si="6"/>
        <v>Enero</v>
      </c>
      <c r="C134" s="7" t="s">
        <v>1</v>
      </c>
      <c r="D134" s="8" t="s">
        <v>11</v>
      </c>
      <c r="E134" s="19">
        <v>46028</v>
      </c>
      <c r="F134" s="19"/>
      <c r="G134" s="5" t="s">
        <v>39</v>
      </c>
      <c r="H134" s="6"/>
    </row>
    <row r="135" spans="1:8" ht="18" customHeight="1">
      <c r="A135" s="61">
        <f t="shared" si="5"/>
        <v>6</v>
      </c>
      <c r="B135" s="2" t="str">
        <f t="shared" si="6"/>
        <v>Febrero</v>
      </c>
      <c r="C135" s="7" t="s">
        <v>1</v>
      </c>
      <c r="D135" s="8" t="s">
        <v>11</v>
      </c>
      <c r="E135" s="19">
        <f>E134+30</f>
        <v>46058</v>
      </c>
      <c r="F135" s="19"/>
      <c r="G135" s="5" t="s">
        <v>39</v>
      </c>
      <c r="H135" s="6"/>
    </row>
    <row r="136" spans="1:8" ht="18" customHeight="1">
      <c r="A136" s="61">
        <f t="shared" ref="A136:A142" si="17">WEEKNUM(E136,2)</f>
        <v>10</v>
      </c>
      <c r="B136" s="2" t="str">
        <f t="shared" ref="B136:B142" si="18">TEXT(E136,"mmmm")</f>
        <v>Marzo</v>
      </c>
      <c r="C136" s="7" t="s">
        <v>1</v>
      </c>
      <c r="D136" s="8" t="s">
        <v>11</v>
      </c>
      <c r="E136" s="19">
        <f t="shared" ref="E136:E145" si="19">E135+30</f>
        <v>46088</v>
      </c>
      <c r="F136" s="19"/>
      <c r="G136" s="5" t="s">
        <v>39</v>
      </c>
      <c r="H136" s="6"/>
    </row>
    <row r="137" spans="1:8" ht="18" customHeight="1">
      <c r="A137" s="61">
        <f t="shared" si="17"/>
        <v>15</v>
      </c>
      <c r="B137" s="2" t="str">
        <f t="shared" si="18"/>
        <v>Abril</v>
      </c>
      <c r="C137" s="7" t="s">
        <v>1</v>
      </c>
      <c r="D137" s="8" t="s">
        <v>11</v>
      </c>
      <c r="E137" s="19">
        <f t="shared" si="19"/>
        <v>46118</v>
      </c>
      <c r="F137" s="19"/>
      <c r="G137" s="5" t="s">
        <v>39</v>
      </c>
      <c r="H137" s="6"/>
    </row>
    <row r="138" spans="1:8" ht="18" customHeight="1">
      <c r="A138" s="61">
        <f t="shared" si="17"/>
        <v>19</v>
      </c>
      <c r="B138" s="2" t="str">
        <f t="shared" si="18"/>
        <v>Mayo</v>
      </c>
      <c r="C138" s="7" t="s">
        <v>1</v>
      </c>
      <c r="D138" s="8" t="s">
        <v>11</v>
      </c>
      <c r="E138" s="19">
        <f t="shared" si="19"/>
        <v>46148</v>
      </c>
      <c r="F138" s="19"/>
      <c r="G138" s="5" t="s">
        <v>39</v>
      </c>
      <c r="H138" s="6"/>
    </row>
    <row r="139" spans="1:8" ht="18" customHeight="1">
      <c r="A139" s="61">
        <f t="shared" si="17"/>
        <v>23</v>
      </c>
      <c r="B139" s="2" t="str">
        <f t="shared" si="18"/>
        <v>Junio</v>
      </c>
      <c r="C139" s="7" t="s">
        <v>1</v>
      </c>
      <c r="D139" s="8" t="s">
        <v>11</v>
      </c>
      <c r="E139" s="19">
        <f t="shared" si="19"/>
        <v>46178</v>
      </c>
      <c r="F139" s="19"/>
      <c r="G139" s="5" t="s">
        <v>39</v>
      </c>
      <c r="H139" s="6"/>
    </row>
    <row r="140" spans="1:8" ht="18" customHeight="1">
      <c r="A140" s="61">
        <f t="shared" si="17"/>
        <v>27</v>
      </c>
      <c r="B140" s="2" t="str">
        <f t="shared" si="18"/>
        <v>Julio</v>
      </c>
      <c r="C140" s="7" t="s">
        <v>1</v>
      </c>
      <c r="D140" s="8" t="s">
        <v>11</v>
      </c>
      <c r="E140" s="19">
        <f t="shared" si="19"/>
        <v>46208</v>
      </c>
      <c r="F140" s="19"/>
      <c r="G140" s="5" t="s">
        <v>39</v>
      </c>
      <c r="H140" s="6"/>
    </row>
    <row r="141" spans="1:8" ht="18" customHeight="1">
      <c r="A141" s="61">
        <f t="shared" si="17"/>
        <v>32</v>
      </c>
      <c r="B141" s="2" t="str">
        <f t="shared" si="18"/>
        <v>Agosto</v>
      </c>
      <c r="C141" s="7" t="s">
        <v>1</v>
      </c>
      <c r="D141" s="8" t="s">
        <v>11</v>
      </c>
      <c r="E141" s="19">
        <f t="shared" si="19"/>
        <v>46238</v>
      </c>
      <c r="F141" s="19"/>
      <c r="G141" s="5" t="s">
        <v>39</v>
      </c>
      <c r="H141" s="6"/>
    </row>
    <row r="142" spans="1:8" ht="18" customHeight="1">
      <c r="A142" s="61">
        <f t="shared" si="17"/>
        <v>36</v>
      </c>
      <c r="B142" s="2" t="str">
        <f t="shared" si="18"/>
        <v>Setiembre</v>
      </c>
      <c r="C142" s="7" t="s">
        <v>1</v>
      </c>
      <c r="D142" s="8" t="s">
        <v>11</v>
      </c>
      <c r="E142" s="19">
        <f t="shared" si="19"/>
        <v>46268</v>
      </c>
      <c r="F142" s="19"/>
      <c r="G142" s="5" t="s">
        <v>39</v>
      </c>
      <c r="H142" s="6"/>
    </row>
    <row r="143" spans="1:8" ht="18" customHeight="1">
      <c r="A143" s="61">
        <f t="shared" ref="A143:A146" si="20">WEEKNUM(E143,2)</f>
        <v>40</v>
      </c>
      <c r="B143" s="2" t="str">
        <f t="shared" ref="B143:B146" si="21">TEXT(E143,"mmmm")</f>
        <v>Octubre</v>
      </c>
      <c r="C143" s="7" t="s">
        <v>1</v>
      </c>
      <c r="D143" s="8" t="s">
        <v>11</v>
      </c>
      <c r="E143" s="19">
        <f t="shared" si="19"/>
        <v>46298</v>
      </c>
      <c r="F143" s="19"/>
      <c r="G143" s="5" t="s">
        <v>39</v>
      </c>
      <c r="H143" s="6"/>
    </row>
    <row r="144" spans="1:8" ht="18" customHeight="1">
      <c r="A144" s="61">
        <f t="shared" si="20"/>
        <v>45</v>
      </c>
      <c r="B144" s="2" t="str">
        <f t="shared" si="21"/>
        <v>Noviembre</v>
      </c>
      <c r="C144" s="7" t="s">
        <v>1</v>
      </c>
      <c r="D144" s="8" t="s">
        <v>11</v>
      </c>
      <c r="E144" s="19">
        <f t="shared" si="19"/>
        <v>46328</v>
      </c>
      <c r="F144" s="19"/>
      <c r="G144" s="5" t="s">
        <v>39</v>
      </c>
      <c r="H144" s="6"/>
    </row>
    <row r="145" spans="1:8" ht="18" customHeight="1">
      <c r="A145" s="61">
        <f t="shared" si="20"/>
        <v>49</v>
      </c>
      <c r="B145" s="2" t="str">
        <f t="shared" si="21"/>
        <v>Diciembre</v>
      </c>
      <c r="C145" s="7" t="s">
        <v>1</v>
      </c>
      <c r="D145" s="8" t="s">
        <v>11</v>
      </c>
      <c r="E145" s="19">
        <f t="shared" si="19"/>
        <v>46358</v>
      </c>
      <c r="F145" s="19"/>
      <c r="G145" s="5" t="s">
        <v>39</v>
      </c>
      <c r="H145" s="6"/>
    </row>
    <row r="146" spans="1:8" ht="18" customHeight="1">
      <c r="A146" s="61">
        <f t="shared" si="20"/>
        <v>51</v>
      </c>
      <c r="B146" s="2" t="str">
        <f t="shared" si="21"/>
        <v>Diciembre</v>
      </c>
      <c r="C146" s="7" t="s">
        <v>1</v>
      </c>
      <c r="D146" s="8" t="s">
        <v>11</v>
      </c>
      <c r="E146" s="19">
        <f t="shared" ref="E146" si="22">E145+15</f>
        <v>46373</v>
      </c>
      <c r="F146" s="19"/>
      <c r="G146" s="5" t="s">
        <v>39</v>
      </c>
      <c r="H146" s="6"/>
    </row>
    <row r="147" spans="1:8">
      <c r="A147" s="61">
        <f t="shared" ref="A147:A180" si="23">WEEKNUM(E147,2)</f>
        <v>9</v>
      </c>
      <c r="B147" s="2" t="str">
        <f t="shared" ref="B147:B180" si="24">TEXT(E147,"mmmm")</f>
        <v>Febrero</v>
      </c>
      <c r="C147" s="32" t="s">
        <v>125</v>
      </c>
      <c r="D147" s="27" t="s">
        <v>87</v>
      </c>
      <c r="E147" s="26">
        <v>46076</v>
      </c>
      <c r="F147" s="26">
        <v>46076</v>
      </c>
      <c r="G147" s="28" t="s">
        <v>64</v>
      </c>
      <c r="H147" s="29"/>
    </row>
    <row r="148" spans="1:8">
      <c r="A148" s="61">
        <f t="shared" si="23"/>
        <v>10</v>
      </c>
      <c r="B148" s="2" t="str">
        <f t="shared" si="24"/>
        <v>Marzo</v>
      </c>
      <c r="C148" s="32" t="s">
        <v>125</v>
      </c>
      <c r="D148" s="27" t="s">
        <v>87</v>
      </c>
      <c r="E148" s="26">
        <v>46083</v>
      </c>
      <c r="F148" s="26">
        <v>46083</v>
      </c>
      <c r="G148" s="28" t="s">
        <v>64</v>
      </c>
      <c r="H148" s="29"/>
    </row>
    <row r="149" spans="1:8">
      <c r="A149" s="61">
        <f t="shared" si="23"/>
        <v>10</v>
      </c>
      <c r="B149" s="2" t="str">
        <f t="shared" si="24"/>
        <v>Marzo</v>
      </c>
      <c r="C149" s="32" t="s">
        <v>125</v>
      </c>
      <c r="D149" s="27" t="s">
        <v>108</v>
      </c>
      <c r="E149" s="26">
        <v>46084</v>
      </c>
      <c r="F149" s="26">
        <v>46084</v>
      </c>
      <c r="G149" s="28" t="s">
        <v>64</v>
      </c>
      <c r="H149" s="29"/>
    </row>
    <row r="150" spans="1:8">
      <c r="A150" s="61">
        <f t="shared" si="23"/>
        <v>10</v>
      </c>
      <c r="B150" s="2" t="str">
        <f t="shared" si="24"/>
        <v>Marzo</v>
      </c>
      <c r="C150" s="32" t="s">
        <v>125</v>
      </c>
      <c r="D150" s="27" t="s">
        <v>109</v>
      </c>
      <c r="E150" s="26">
        <v>46087</v>
      </c>
      <c r="F150" s="26">
        <v>46087</v>
      </c>
      <c r="G150" s="28" t="s">
        <v>64</v>
      </c>
      <c r="H150" s="29"/>
    </row>
    <row r="151" spans="1:8">
      <c r="A151" s="61">
        <f t="shared" si="23"/>
        <v>11</v>
      </c>
      <c r="B151" s="2" t="str">
        <f t="shared" si="24"/>
        <v>Marzo</v>
      </c>
      <c r="C151" s="32" t="s">
        <v>125</v>
      </c>
      <c r="D151" s="31" t="s">
        <v>87</v>
      </c>
      <c r="E151" s="30">
        <v>46090</v>
      </c>
      <c r="F151" s="30">
        <v>46090</v>
      </c>
      <c r="G151" s="28" t="s">
        <v>64</v>
      </c>
      <c r="H151" s="29"/>
    </row>
    <row r="152" spans="1:8">
      <c r="A152" s="61">
        <f t="shared" si="23"/>
        <v>12</v>
      </c>
      <c r="B152" s="2" t="str">
        <f t="shared" si="24"/>
        <v>Marzo</v>
      </c>
      <c r="C152" s="32" t="s">
        <v>125</v>
      </c>
      <c r="D152" s="27" t="s">
        <v>87</v>
      </c>
      <c r="E152" s="26">
        <v>46099</v>
      </c>
      <c r="F152" s="26">
        <v>46099</v>
      </c>
      <c r="G152" s="28" t="s">
        <v>64</v>
      </c>
      <c r="H152" s="29"/>
    </row>
    <row r="153" spans="1:8">
      <c r="A153" s="61">
        <f t="shared" si="23"/>
        <v>12</v>
      </c>
      <c r="B153" s="2" t="str">
        <f t="shared" si="24"/>
        <v>Marzo</v>
      </c>
      <c r="C153" s="32" t="s">
        <v>125</v>
      </c>
      <c r="D153" s="27" t="s">
        <v>111</v>
      </c>
      <c r="E153" s="26">
        <v>46100</v>
      </c>
      <c r="F153" s="26">
        <v>46100</v>
      </c>
      <c r="G153" s="28" t="s">
        <v>64</v>
      </c>
      <c r="H153" s="29"/>
    </row>
    <row r="154" spans="1:8">
      <c r="A154" s="61">
        <f t="shared" ref="A154:A173" si="25">WEEKNUM(E154,2)</f>
        <v>14</v>
      </c>
      <c r="B154" s="2" t="str">
        <f t="shared" ref="B154:B173" si="26">TEXT(E154,"mmmm")</f>
        <v>Marzo</v>
      </c>
      <c r="C154" s="32" t="s">
        <v>125</v>
      </c>
      <c r="D154" s="27" t="s">
        <v>87</v>
      </c>
      <c r="E154" s="26">
        <v>46111</v>
      </c>
      <c r="F154" s="26"/>
      <c r="G154" s="16" t="s">
        <v>39</v>
      </c>
      <c r="H154" s="29"/>
    </row>
    <row r="155" spans="1:8">
      <c r="A155" s="61">
        <f t="shared" si="25"/>
        <v>16</v>
      </c>
      <c r="B155" s="2" t="str">
        <f t="shared" si="26"/>
        <v>Abril</v>
      </c>
      <c r="C155" s="32" t="s">
        <v>125</v>
      </c>
      <c r="D155" s="27" t="s">
        <v>87</v>
      </c>
      <c r="E155" s="26">
        <f>E154+14</f>
        <v>46125</v>
      </c>
      <c r="F155" s="26"/>
      <c r="G155" s="16" t="s">
        <v>39</v>
      </c>
      <c r="H155" s="29"/>
    </row>
    <row r="156" spans="1:8">
      <c r="A156" s="61">
        <f t="shared" ref="A156:A163" si="27">WEEKNUM(E156,2)</f>
        <v>18</v>
      </c>
      <c r="B156" s="2" t="str">
        <f t="shared" ref="B156:B163" si="28">TEXT(E156,"mmmm")</f>
        <v>Abril</v>
      </c>
      <c r="C156" s="32" t="s">
        <v>125</v>
      </c>
      <c r="D156" s="27" t="s">
        <v>87</v>
      </c>
      <c r="E156" s="26">
        <f t="shared" ref="E156:E173" si="29">E155+14</f>
        <v>46139</v>
      </c>
      <c r="F156" s="26"/>
      <c r="G156" s="16" t="s">
        <v>39</v>
      </c>
      <c r="H156" s="29"/>
    </row>
    <row r="157" spans="1:8">
      <c r="A157" s="61">
        <f t="shared" si="27"/>
        <v>20</v>
      </c>
      <c r="B157" s="2" t="str">
        <f t="shared" si="28"/>
        <v>Mayo</v>
      </c>
      <c r="C157" s="32" t="s">
        <v>125</v>
      </c>
      <c r="D157" s="27" t="s">
        <v>87</v>
      </c>
      <c r="E157" s="26">
        <f t="shared" si="29"/>
        <v>46153</v>
      </c>
      <c r="F157" s="26"/>
      <c r="G157" s="16" t="s">
        <v>39</v>
      </c>
      <c r="H157" s="29"/>
    </row>
    <row r="158" spans="1:8">
      <c r="A158" s="61">
        <f t="shared" si="27"/>
        <v>22</v>
      </c>
      <c r="B158" s="2" t="str">
        <f t="shared" si="28"/>
        <v>Mayo</v>
      </c>
      <c r="C158" s="32" t="s">
        <v>125</v>
      </c>
      <c r="D158" s="27" t="s">
        <v>87</v>
      </c>
      <c r="E158" s="26">
        <f t="shared" si="29"/>
        <v>46167</v>
      </c>
      <c r="F158" s="26"/>
      <c r="G158" s="16" t="s">
        <v>39</v>
      </c>
      <c r="H158" s="29"/>
    </row>
    <row r="159" spans="1:8">
      <c r="A159" s="61">
        <f t="shared" si="27"/>
        <v>24</v>
      </c>
      <c r="B159" s="2" t="str">
        <f t="shared" si="28"/>
        <v>Junio</v>
      </c>
      <c r="C159" s="32" t="s">
        <v>125</v>
      </c>
      <c r="D159" s="27" t="s">
        <v>87</v>
      </c>
      <c r="E159" s="26">
        <f t="shared" si="29"/>
        <v>46181</v>
      </c>
      <c r="F159" s="26"/>
      <c r="G159" s="16" t="s">
        <v>39</v>
      </c>
      <c r="H159" s="29"/>
    </row>
    <row r="160" spans="1:8">
      <c r="A160" s="61">
        <f t="shared" si="27"/>
        <v>26</v>
      </c>
      <c r="B160" s="2" t="str">
        <f t="shared" si="28"/>
        <v>Junio</v>
      </c>
      <c r="C160" s="32" t="s">
        <v>125</v>
      </c>
      <c r="D160" s="27" t="s">
        <v>87</v>
      </c>
      <c r="E160" s="26">
        <f t="shared" si="29"/>
        <v>46195</v>
      </c>
      <c r="F160" s="26"/>
      <c r="G160" s="16" t="s">
        <v>39</v>
      </c>
      <c r="H160" s="29"/>
    </row>
    <row r="161" spans="1:8">
      <c r="A161" s="61">
        <f t="shared" si="27"/>
        <v>28</v>
      </c>
      <c r="B161" s="2" t="str">
        <f t="shared" si="28"/>
        <v>Julio</v>
      </c>
      <c r="C161" s="32" t="s">
        <v>125</v>
      </c>
      <c r="D161" s="27" t="s">
        <v>87</v>
      </c>
      <c r="E161" s="26">
        <f t="shared" si="29"/>
        <v>46209</v>
      </c>
      <c r="F161" s="26"/>
      <c r="G161" s="16" t="s">
        <v>39</v>
      </c>
      <c r="H161" s="29"/>
    </row>
    <row r="162" spans="1:8">
      <c r="A162" s="61">
        <f t="shared" si="27"/>
        <v>30</v>
      </c>
      <c r="B162" s="2" t="str">
        <f t="shared" si="28"/>
        <v>Julio</v>
      </c>
      <c r="C162" s="32" t="s">
        <v>125</v>
      </c>
      <c r="D162" s="27" t="s">
        <v>87</v>
      </c>
      <c r="E162" s="26">
        <f t="shared" si="29"/>
        <v>46223</v>
      </c>
      <c r="F162" s="26"/>
      <c r="G162" s="16" t="s">
        <v>39</v>
      </c>
      <c r="H162" s="29"/>
    </row>
    <row r="163" spans="1:8">
      <c r="A163" s="61">
        <f t="shared" si="27"/>
        <v>32</v>
      </c>
      <c r="B163" s="2" t="str">
        <f t="shared" si="28"/>
        <v>Agosto</v>
      </c>
      <c r="C163" s="32" t="s">
        <v>125</v>
      </c>
      <c r="D163" s="27" t="s">
        <v>87</v>
      </c>
      <c r="E163" s="26">
        <f t="shared" si="29"/>
        <v>46237</v>
      </c>
      <c r="F163" s="26"/>
      <c r="G163" s="16" t="s">
        <v>39</v>
      </c>
      <c r="H163" s="29"/>
    </row>
    <row r="164" spans="1:8">
      <c r="A164" s="61">
        <f t="shared" ref="A164:A171" si="30">WEEKNUM(E164,2)</f>
        <v>34</v>
      </c>
      <c r="B164" s="2" t="str">
        <f t="shared" ref="B164:B171" si="31">TEXT(E164,"mmmm")</f>
        <v>Agosto</v>
      </c>
      <c r="C164" s="32" t="s">
        <v>125</v>
      </c>
      <c r="D164" s="27" t="s">
        <v>87</v>
      </c>
      <c r="E164" s="26">
        <f t="shared" si="29"/>
        <v>46251</v>
      </c>
      <c r="F164" s="26"/>
      <c r="G164" s="16" t="s">
        <v>39</v>
      </c>
      <c r="H164" s="29"/>
    </row>
    <row r="165" spans="1:8">
      <c r="A165" s="61">
        <f t="shared" si="30"/>
        <v>36</v>
      </c>
      <c r="B165" s="2" t="str">
        <f t="shared" si="31"/>
        <v>Agosto</v>
      </c>
      <c r="C165" s="32" t="s">
        <v>125</v>
      </c>
      <c r="D165" s="27" t="s">
        <v>87</v>
      </c>
      <c r="E165" s="26">
        <f t="shared" si="29"/>
        <v>46265</v>
      </c>
      <c r="F165" s="26"/>
      <c r="G165" s="16" t="s">
        <v>39</v>
      </c>
      <c r="H165" s="29"/>
    </row>
    <row r="166" spans="1:8">
      <c r="A166" s="61">
        <f t="shared" si="30"/>
        <v>38</v>
      </c>
      <c r="B166" s="2" t="str">
        <f t="shared" si="31"/>
        <v>Setiembre</v>
      </c>
      <c r="C166" s="32" t="s">
        <v>125</v>
      </c>
      <c r="D166" s="27" t="s">
        <v>87</v>
      </c>
      <c r="E166" s="26">
        <f t="shared" si="29"/>
        <v>46279</v>
      </c>
      <c r="F166" s="26"/>
      <c r="G166" s="16" t="s">
        <v>39</v>
      </c>
      <c r="H166" s="29"/>
    </row>
    <row r="167" spans="1:8">
      <c r="A167" s="61">
        <f t="shared" si="30"/>
        <v>40</v>
      </c>
      <c r="B167" s="2" t="str">
        <f t="shared" si="31"/>
        <v>Setiembre</v>
      </c>
      <c r="C167" s="32" t="s">
        <v>125</v>
      </c>
      <c r="D167" s="27" t="s">
        <v>87</v>
      </c>
      <c r="E167" s="26">
        <f t="shared" si="29"/>
        <v>46293</v>
      </c>
      <c r="F167" s="26"/>
      <c r="G167" s="16" t="s">
        <v>39</v>
      </c>
      <c r="H167" s="29"/>
    </row>
    <row r="168" spans="1:8">
      <c r="A168" s="61">
        <f t="shared" si="30"/>
        <v>42</v>
      </c>
      <c r="B168" s="2" t="str">
        <f t="shared" si="31"/>
        <v>Octubre</v>
      </c>
      <c r="C168" s="32" t="s">
        <v>125</v>
      </c>
      <c r="D168" s="27" t="s">
        <v>87</v>
      </c>
      <c r="E168" s="26">
        <f t="shared" si="29"/>
        <v>46307</v>
      </c>
      <c r="F168" s="26"/>
      <c r="G168" s="16" t="s">
        <v>39</v>
      </c>
      <c r="H168" s="29"/>
    </row>
    <row r="169" spans="1:8">
      <c r="A169" s="61">
        <f t="shared" si="30"/>
        <v>44</v>
      </c>
      <c r="B169" s="2" t="str">
        <f t="shared" si="31"/>
        <v>Octubre</v>
      </c>
      <c r="C169" s="32" t="s">
        <v>125</v>
      </c>
      <c r="D169" s="27" t="s">
        <v>87</v>
      </c>
      <c r="E169" s="26">
        <f t="shared" si="29"/>
        <v>46321</v>
      </c>
      <c r="F169" s="26"/>
      <c r="G169" s="16" t="s">
        <v>39</v>
      </c>
      <c r="H169" s="29"/>
    </row>
    <row r="170" spans="1:8">
      <c r="A170" s="61">
        <f t="shared" si="30"/>
        <v>46</v>
      </c>
      <c r="B170" s="2" t="str">
        <f t="shared" si="31"/>
        <v>Noviembre</v>
      </c>
      <c r="C170" s="32" t="s">
        <v>125</v>
      </c>
      <c r="D170" s="27" t="s">
        <v>87</v>
      </c>
      <c r="E170" s="26">
        <f>E169+14</f>
        <v>46335</v>
      </c>
      <c r="F170" s="26"/>
      <c r="G170" s="16" t="s">
        <v>39</v>
      </c>
      <c r="H170" s="29"/>
    </row>
    <row r="171" spans="1:8">
      <c r="A171" s="61">
        <f t="shared" si="30"/>
        <v>48</v>
      </c>
      <c r="B171" s="2" t="str">
        <f t="shared" si="31"/>
        <v>Noviembre</v>
      </c>
      <c r="C171" s="32" t="s">
        <v>125</v>
      </c>
      <c r="D171" s="27" t="s">
        <v>87</v>
      </c>
      <c r="E171" s="26">
        <f t="shared" si="29"/>
        <v>46349</v>
      </c>
      <c r="F171" s="26"/>
      <c r="G171" s="16" t="s">
        <v>39</v>
      </c>
      <c r="H171" s="29"/>
    </row>
    <row r="172" spans="1:8">
      <c r="A172" s="61">
        <f t="shared" si="25"/>
        <v>50</v>
      </c>
      <c r="B172" s="2" t="str">
        <f t="shared" si="26"/>
        <v>Diciembre</v>
      </c>
      <c r="C172" s="32" t="s">
        <v>125</v>
      </c>
      <c r="D172" s="27" t="s">
        <v>87</v>
      </c>
      <c r="E172" s="26">
        <f t="shared" si="29"/>
        <v>46363</v>
      </c>
      <c r="F172" s="26"/>
      <c r="G172" s="16" t="s">
        <v>39</v>
      </c>
      <c r="H172" s="29"/>
    </row>
    <row r="173" spans="1:8">
      <c r="A173" s="61">
        <f t="shared" si="25"/>
        <v>52</v>
      </c>
      <c r="B173" s="2" t="str">
        <f t="shared" si="26"/>
        <v>Diciembre</v>
      </c>
      <c r="C173" s="32" t="s">
        <v>125</v>
      </c>
      <c r="D173" s="27" t="s">
        <v>87</v>
      </c>
      <c r="E173" s="26">
        <f t="shared" si="29"/>
        <v>46377</v>
      </c>
      <c r="F173" s="26"/>
      <c r="G173" s="16" t="s">
        <v>39</v>
      </c>
      <c r="H173" s="29"/>
    </row>
    <row r="174" spans="1:8">
      <c r="A174" s="61">
        <f t="shared" si="23"/>
        <v>10</v>
      </c>
      <c r="B174" s="2" t="str">
        <f t="shared" si="24"/>
        <v>Marzo</v>
      </c>
      <c r="C174" s="14" t="s">
        <v>12</v>
      </c>
      <c r="D174" s="15" t="s">
        <v>106</v>
      </c>
      <c r="E174" s="24">
        <v>46084</v>
      </c>
      <c r="F174" s="24">
        <v>46084</v>
      </c>
      <c r="G174" s="22" t="s">
        <v>64</v>
      </c>
      <c r="H174" s="23"/>
    </row>
    <row r="175" spans="1:8">
      <c r="A175" s="61">
        <f t="shared" si="23"/>
        <v>13</v>
      </c>
      <c r="B175" s="2" t="str">
        <f t="shared" si="24"/>
        <v>Marzo</v>
      </c>
      <c r="C175" s="14" t="s">
        <v>12</v>
      </c>
      <c r="D175" s="15" t="s">
        <v>13</v>
      </c>
      <c r="E175" s="24">
        <v>46106</v>
      </c>
      <c r="F175" s="24"/>
      <c r="G175" s="16" t="s">
        <v>39</v>
      </c>
      <c r="H175" s="6"/>
    </row>
    <row r="176" spans="1:8">
      <c r="A176" s="61">
        <f t="shared" si="23"/>
        <v>16</v>
      </c>
      <c r="B176" s="2" t="str">
        <f t="shared" si="24"/>
        <v>Abril</v>
      </c>
      <c r="C176" s="14" t="s">
        <v>12</v>
      </c>
      <c r="D176" s="15" t="s">
        <v>9</v>
      </c>
      <c r="E176" s="24">
        <f>E175+20</f>
        <v>46126</v>
      </c>
      <c r="F176" s="24"/>
      <c r="G176" s="16" t="s">
        <v>39</v>
      </c>
      <c r="H176" s="6"/>
    </row>
    <row r="177" spans="1:8">
      <c r="A177" s="61">
        <f t="shared" si="23"/>
        <v>18</v>
      </c>
      <c r="B177" s="2" t="str">
        <f t="shared" si="24"/>
        <v>Abril</v>
      </c>
      <c r="C177" s="14" t="s">
        <v>12</v>
      </c>
      <c r="D177" s="15" t="s">
        <v>6</v>
      </c>
      <c r="E177" s="24">
        <f>E176+15</f>
        <v>46141</v>
      </c>
      <c r="F177" s="24"/>
      <c r="G177" s="16" t="s">
        <v>39</v>
      </c>
      <c r="H177" s="6"/>
    </row>
    <row r="178" spans="1:8">
      <c r="A178" s="61">
        <f t="shared" si="23"/>
        <v>20</v>
      </c>
      <c r="B178" s="2" t="str">
        <f t="shared" si="24"/>
        <v>Mayo</v>
      </c>
      <c r="C178" s="14" t="s">
        <v>12</v>
      </c>
      <c r="D178" s="15" t="s">
        <v>14</v>
      </c>
      <c r="E178" s="24">
        <f t="shared" ref="E178:E180" si="32">E177+15</f>
        <v>46156</v>
      </c>
      <c r="F178" s="24"/>
      <c r="G178" s="16" t="s">
        <v>39</v>
      </c>
      <c r="H178" s="6"/>
    </row>
    <row r="179" spans="1:8">
      <c r="A179" s="61">
        <f t="shared" si="23"/>
        <v>22</v>
      </c>
      <c r="B179" s="2" t="str">
        <f t="shared" si="24"/>
        <v>Mayo</v>
      </c>
      <c r="C179" s="14" t="s">
        <v>12</v>
      </c>
      <c r="D179" s="15" t="s">
        <v>15</v>
      </c>
      <c r="E179" s="24">
        <f t="shared" si="32"/>
        <v>46171</v>
      </c>
      <c r="F179" s="24"/>
      <c r="G179" s="16" t="s">
        <v>39</v>
      </c>
      <c r="H179" s="6"/>
    </row>
    <row r="180" spans="1:8">
      <c r="A180" s="65">
        <f t="shared" si="23"/>
        <v>24</v>
      </c>
      <c r="B180" s="66" t="str">
        <f t="shared" si="24"/>
        <v>Junio</v>
      </c>
      <c r="C180" s="67" t="s">
        <v>12</v>
      </c>
      <c r="D180" s="68" t="s">
        <v>16</v>
      </c>
      <c r="E180" s="69">
        <f t="shared" si="32"/>
        <v>46186</v>
      </c>
      <c r="F180" s="69"/>
      <c r="G180" s="70" t="s">
        <v>39</v>
      </c>
      <c r="H180" s="71"/>
    </row>
    <row r="181" spans="1:8">
      <c r="A181" s="54"/>
      <c r="E181" s="37"/>
      <c r="F181" s="18"/>
    </row>
    <row r="182" spans="1:8">
      <c r="A182" s="54"/>
      <c r="E182" s="37"/>
      <c r="F182" s="18"/>
    </row>
    <row r="183" spans="1:8">
      <c r="A183" s="54"/>
      <c r="E183" s="37"/>
      <c r="F183" s="18"/>
    </row>
    <row r="184" spans="1:8">
      <c r="A184" s="54"/>
      <c r="E184" s="37"/>
      <c r="F184" s="18"/>
    </row>
    <row r="185" spans="1:8">
      <c r="A185" s="54"/>
      <c r="E185" s="37"/>
      <c r="F185" s="18"/>
    </row>
    <row r="186" spans="1:8">
      <c r="A186" s="54"/>
      <c r="E186" s="37"/>
      <c r="F186" s="18"/>
    </row>
    <row r="187" spans="1:8">
      <c r="A187" s="54"/>
      <c r="E187" s="37"/>
      <c r="F187" s="18"/>
    </row>
    <row r="188" spans="1:8">
      <c r="A188" s="54"/>
      <c r="E188" s="37"/>
      <c r="F188" s="18"/>
    </row>
    <row r="189" spans="1:8">
      <c r="A189" s="54"/>
      <c r="E189" s="37"/>
      <c r="F189" s="18"/>
    </row>
    <row r="190" spans="1:8">
      <c r="A190" s="54"/>
      <c r="E190" s="37"/>
      <c r="F190" s="18"/>
    </row>
    <row r="191" spans="1:8">
      <c r="A191" s="54"/>
      <c r="E191" s="37"/>
      <c r="F191" s="18"/>
    </row>
    <row r="192" spans="1:8">
      <c r="A192" s="54"/>
      <c r="E192" s="37"/>
      <c r="F192" s="18"/>
    </row>
    <row r="193" spans="1:6">
      <c r="A193" s="54"/>
      <c r="E193" s="37"/>
      <c r="F193" s="18"/>
    </row>
    <row r="194" spans="1:6">
      <c r="A194" s="54"/>
      <c r="E194" s="37"/>
      <c r="F194" s="18"/>
    </row>
    <row r="195" spans="1:6">
      <c r="A195" s="54"/>
      <c r="E195" s="37"/>
    </row>
    <row r="196" spans="1:6">
      <c r="A196" s="54"/>
      <c r="E196" s="37"/>
    </row>
    <row r="197" spans="1:6">
      <c r="A197" s="54"/>
      <c r="E197" s="37"/>
    </row>
    <row r="198" spans="1:6">
      <c r="A198" s="54"/>
      <c r="E198" s="37"/>
    </row>
    <row r="199" spans="1:6">
      <c r="A199" s="54"/>
      <c r="E199" s="37"/>
    </row>
    <row r="200" spans="1:6">
      <c r="A200" s="54"/>
      <c r="E200" s="37"/>
    </row>
    <row r="201" spans="1:6">
      <c r="A201" s="54"/>
      <c r="E201" s="37"/>
    </row>
    <row r="202" spans="1:6">
      <c r="A202" s="54"/>
      <c r="E202" s="37"/>
    </row>
    <row r="203" spans="1:6">
      <c r="A203" s="54"/>
      <c r="E203" s="37"/>
    </row>
    <row r="204" spans="1:6">
      <c r="A204" s="54"/>
      <c r="E204" s="37"/>
    </row>
    <row r="205" spans="1:6">
      <c r="A205" s="54"/>
      <c r="E205" s="37"/>
    </row>
    <row r="206" spans="1:6">
      <c r="A206" s="54"/>
      <c r="E206" s="37"/>
    </row>
    <row r="207" spans="1:6">
      <c r="A207" s="54"/>
      <c r="E207" s="37"/>
    </row>
    <row r="208" spans="1:6">
      <c r="A208" s="54"/>
      <c r="E208" s="37"/>
    </row>
    <row r="209" spans="1:5">
      <c r="A209" s="54"/>
      <c r="E209" s="37"/>
    </row>
    <row r="210" spans="1:5">
      <c r="A210" s="54"/>
      <c r="E210" s="37"/>
    </row>
    <row r="211" spans="1:5">
      <c r="A211" s="54"/>
      <c r="E211" s="37"/>
    </row>
    <row r="212" spans="1:5">
      <c r="A212" s="54"/>
      <c r="E212" s="37"/>
    </row>
    <row r="213" spans="1:5">
      <c r="A213" s="54"/>
      <c r="E213" s="37"/>
    </row>
    <row r="214" spans="1:5">
      <c r="A214" s="54"/>
      <c r="E214" s="37"/>
    </row>
    <row r="215" spans="1:5">
      <c r="A215" s="54"/>
      <c r="E215" s="37"/>
    </row>
    <row r="216" spans="1:5">
      <c r="A216" s="54"/>
      <c r="E216" s="37"/>
    </row>
    <row r="217" spans="1:5">
      <c r="A217" s="54"/>
      <c r="E217" s="37"/>
    </row>
    <row r="218" spans="1:5">
      <c r="A218" s="54"/>
      <c r="E218" s="37"/>
    </row>
    <row r="219" spans="1:5">
      <c r="A219" s="54"/>
      <c r="E219" s="37"/>
    </row>
    <row r="220" spans="1:5">
      <c r="A220" s="54"/>
      <c r="E220" s="37"/>
    </row>
    <row r="221" spans="1:5">
      <c r="A221" s="54"/>
      <c r="E221" s="37"/>
    </row>
    <row r="222" spans="1:5">
      <c r="A222" s="54"/>
      <c r="E222" s="37"/>
    </row>
    <row r="223" spans="1:5">
      <c r="A223" s="54"/>
      <c r="E223" s="37"/>
    </row>
    <row r="224" spans="1:5">
      <c r="A224" s="54"/>
      <c r="E224" s="37"/>
    </row>
    <row r="225" spans="1:5">
      <c r="A225" s="54"/>
      <c r="E225" s="37"/>
    </row>
    <row r="226" spans="1:5">
      <c r="A226" s="54"/>
      <c r="E226" s="37"/>
    </row>
    <row r="227" spans="1:5">
      <c r="A227" s="54"/>
      <c r="E227" s="37"/>
    </row>
    <row r="228" spans="1:5">
      <c r="A228" s="54"/>
      <c r="E228" s="37"/>
    </row>
    <row r="229" spans="1:5">
      <c r="A229" s="54"/>
      <c r="E229" s="37"/>
    </row>
    <row r="230" spans="1:5">
      <c r="A230" s="54"/>
      <c r="E230" s="37"/>
    </row>
    <row r="231" spans="1:5">
      <c r="A231" s="54"/>
      <c r="E231" s="37"/>
    </row>
    <row r="232" spans="1:5">
      <c r="A232" s="54"/>
      <c r="E232" s="37"/>
    </row>
    <row r="233" spans="1:5">
      <c r="A233" s="54"/>
      <c r="E233" s="37"/>
    </row>
    <row r="234" spans="1:5">
      <c r="A234" s="54"/>
      <c r="E234" s="37"/>
    </row>
    <row r="235" spans="1:5">
      <c r="A235" s="54"/>
      <c r="E235" s="37"/>
    </row>
    <row r="236" spans="1:5">
      <c r="A236" s="54"/>
      <c r="E236" s="37"/>
    </row>
    <row r="237" spans="1:5">
      <c r="A237" s="54"/>
      <c r="E237" s="37"/>
    </row>
    <row r="238" spans="1:5">
      <c r="A238" s="54"/>
      <c r="E238" s="37"/>
    </row>
    <row r="239" spans="1:5">
      <c r="A239" s="54"/>
      <c r="E239" s="37"/>
    </row>
    <row r="240" spans="1:5">
      <c r="A240" s="54"/>
      <c r="E240" s="37"/>
    </row>
    <row r="241" spans="1:5">
      <c r="A241" s="54"/>
      <c r="E241" s="37"/>
    </row>
    <row r="242" spans="1:5">
      <c r="A242" s="54"/>
      <c r="E242" s="37"/>
    </row>
    <row r="243" spans="1:5">
      <c r="A243" s="54"/>
      <c r="E243" s="37"/>
    </row>
    <row r="244" spans="1:5">
      <c r="A244" s="54"/>
      <c r="E244" s="37"/>
    </row>
    <row r="245" spans="1:5">
      <c r="A245" s="54"/>
      <c r="E245" s="37"/>
    </row>
    <row r="246" spans="1:5">
      <c r="A246" s="54"/>
      <c r="E246" s="37"/>
    </row>
    <row r="247" spans="1:5">
      <c r="A247" s="54"/>
      <c r="E247" s="37"/>
    </row>
    <row r="248" spans="1:5">
      <c r="A248" s="54"/>
      <c r="E248" s="37"/>
    </row>
    <row r="249" spans="1:5">
      <c r="A249" s="54"/>
      <c r="E249" s="37"/>
    </row>
    <row r="250" spans="1:5">
      <c r="A250" s="54"/>
      <c r="E250" s="37"/>
    </row>
    <row r="251" spans="1:5">
      <c r="A251" s="54"/>
      <c r="E251" s="37"/>
    </row>
    <row r="252" spans="1:5">
      <c r="A252" s="54"/>
      <c r="E252" s="37"/>
    </row>
    <row r="253" spans="1:5">
      <c r="A253" s="54"/>
      <c r="E253" s="37"/>
    </row>
    <row r="254" spans="1:5">
      <c r="A254" s="54"/>
      <c r="E254" s="37"/>
    </row>
    <row r="255" spans="1:5">
      <c r="A255" s="54"/>
      <c r="E255" s="37"/>
    </row>
    <row r="256" spans="1:5">
      <c r="A256" s="54"/>
      <c r="E256" s="37"/>
    </row>
    <row r="257" spans="1:5">
      <c r="A257" s="54"/>
      <c r="E257" s="37"/>
    </row>
    <row r="258" spans="1:5">
      <c r="A258" s="54"/>
      <c r="E258" s="37"/>
    </row>
    <row r="259" spans="1:5">
      <c r="A259" s="54"/>
      <c r="E259" s="37"/>
    </row>
    <row r="260" spans="1:5">
      <c r="A260" s="54"/>
      <c r="E260" s="37"/>
    </row>
    <row r="261" spans="1:5">
      <c r="A261" s="54"/>
      <c r="E261" s="37"/>
    </row>
    <row r="262" spans="1:5">
      <c r="A262" s="54"/>
      <c r="E262" s="37"/>
    </row>
    <row r="263" spans="1:5">
      <c r="A263" s="54"/>
      <c r="E263" s="37"/>
    </row>
    <row r="264" spans="1:5">
      <c r="A264" s="54"/>
      <c r="E264" s="37"/>
    </row>
    <row r="265" spans="1:5">
      <c r="A265" s="54"/>
      <c r="E265" s="37"/>
    </row>
    <row r="266" spans="1:5">
      <c r="A266" s="54"/>
      <c r="E266" s="37"/>
    </row>
    <row r="267" spans="1:5">
      <c r="A267" s="54"/>
      <c r="E267" s="37"/>
    </row>
    <row r="268" spans="1:5">
      <c r="A268" s="54"/>
      <c r="E268" s="37"/>
    </row>
    <row r="269" spans="1:5">
      <c r="A269" s="54"/>
      <c r="E269" s="37"/>
    </row>
    <row r="270" spans="1:5">
      <c r="A270" s="54"/>
      <c r="E270" s="37"/>
    </row>
    <row r="271" spans="1:5">
      <c r="A271" s="54"/>
      <c r="E271" s="37"/>
    </row>
    <row r="272" spans="1:5">
      <c r="A272" s="54"/>
      <c r="E272" s="37"/>
    </row>
    <row r="273" spans="1:5">
      <c r="A273" s="54"/>
      <c r="E273" s="37"/>
    </row>
    <row r="274" spans="1:5">
      <c r="A274" s="54"/>
      <c r="E274" s="37"/>
    </row>
    <row r="275" spans="1:5">
      <c r="A275" s="54"/>
      <c r="E275" s="37"/>
    </row>
    <row r="276" spans="1:5">
      <c r="A276" s="54"/>
      <c r="E276" s="37"/>
    </row>
    <row r="277" spans="1:5">
      <c r="A277" s="54"/>
      <c r="E277" s="37"/>
    </row>
    <row r="278" spans="1:5">
      <c r="A278" s="54"/>
      <c r="E278" s="37"/>
    </row>
    <row r="279" spans="1:5">
      <c r="A279" s="54"/>
      <c r="E279" s="37"/>
    </row>
    <row r="280" spans="1:5">
      <c r="A280" s="54"/>
      <c r="E280" s="37"/>
    </row>
    <row r="281" spans="1:5">
      <c r="A281" s="54"/>
      <c r="E281" s="37"/>
    </row>
    <row r="282" spans="1:5">
      <c r="A282" s="54"/>
      <c r="E282" s="37"/>
    </row>
    <row r="283" spans="1:5">
      <c r="A283" s="54"/>
      <c r="E283" s="37"/>
    </row>
    <row r="284" spans="1:5">
      <c r="A284" s="54"/>
      <c r="E284" s="37"/>
    </row>
    <row r="285" spans="1:5">
      <c r="A285" s="54"/>
      <c r="E285" s="37"/>
    </row>
    <row r="286" spans="1:5">
      <c r="A286" s="54"/>
      <c r="E286" s="37"/>
    </row>
    <row r="287" spans="1:5">
      <c r="A287" s="54"/>
      <c r="E287" s="37"/>
    </row>
    <row r="288" spans="1:5">
      <c r="A288" s="54"/>
      <c r="E288" s="37"/>
    </row>
    <row r="289" spans="1:5">
      <c r="A289" s="54"/>
      <c r="E289" s="37"/>
    </row>
    <row r="290" spans="1:5">
      <c r="A290" s="54"/>
      <c r="E290" s="37"/>
    </row>
    <row r="291" spans="1:5">
      <c r="A291" s="54"/>
      <c r="E291" s="37"/>
    </row>
    <row r="292" spans="1:5">
      <c r="A292" s="54"/>
      <c r="E292" s="37"/>
    </row>
    <row r="293" spans="1:5">
      <c r="A293" s="54"/>
      <c r="E293" s="37"/>
    </row>
    <row r="294" spans="1:5">
      <c r="A294" s="54"/>
      <c r="E294" s="37"/>
    </row>
    <row r="295" spans="1:5">
      <c r="A295" s="54"/>
      <c r="E295" s="37"/>
    </row>
    <row r="296" spans="1:5">
      <c r="A296" s="54"/>
      <c r="E296" s="37"/>
    </row>
    <row r="297" spans="1:5">
      <c r="A297" s="54"/>
      <c r="E297" s="37"/>
    </row>
    <row r="298" spans="1:5">
      <c r="A298" s="54"/>
      <c r="E298" s="37"/>
    </row>
    <row r="299" spans="1:5">
      <c r="A299" s="54"/>
      <c r="E299" s="37"/>
    </row>
    <row r="300" spans="1:5">
      <c r="A300" s="54"/>
      <c r="E300" s="37"/>
    </row>
    <row r="301" spans="1:5">
      <c r="A301" s="54"/>
      <c r="E301" s="37"/>
    </row>
    <row r="302" spans="1:5">
      <c r="A302" s="54"/>
      <c r="E302" s="37"/>
    </row>
    <row r="303" spans="1:5">
      <c r="A303" s="54"/>
      <c r="E303" s="37"/>
    </row>
    <row r="304" spans="1:5">
      <c r="A304" s="54"/>
      <c r="E304" s="37"/>
    </row>
    <row r="305" spans="1:5">
      <c r="A305" s="54"/>
      <c r="E305" s="37"/>
    </row>
    <row r="306" spans="1:5">
      <c r="A306" s="54"/>
      <c r="E306" s="37"/>
    </row>
    <row r="307" spans="1:5">
      <c r="A307" s="54"/>
      <c r="E307" s="37"/>
    </row>
    <row r="308" spans="1:5">
      <c r="A308" s="54"/>
      <c r="E308" s="37"/>
    </row>
    <row r="309" spans="1:5">
      <c r="A309" s="54"/>
      <c r="E309" s="37"/>
    </row>
    <row r="310" spans="1:5">
      <c r="A310" s="54"/>
      <c r="E310" s="37"/>
    </row>
    <row r="311" spans="1:5">
      <c r="A311" s="54"/>
      <c r="E311" s="37"/>
    </row>
    <row r="312" spans="1:5">
      <c r="A312" s="54"/>
      <c r="E312" s="37"/>
    </row>
    <row r="313" spans="1:5">
      <c r="A313" s="54"/>
      <c r="E313" s="37"/>
    </row>
    <row r="314" spans="1:5">
      <c r="A314" s="54"/>
      <c r="E314" s="37"/>
    </row>
    <row r="315" spans="1:5">
      <c r="A315" s="54"/>
      <c r="E315" s="37"/>
    </row>
    <row r="316" spans="1:5">
      <c r="A316" s="54"/>
      <c r="E316" s="37"/>
    </row>
    <row r="317" spans="1:5">
      <c r="A317" s="54"/>
      <c r="E317" s="37"/>
    </row>
    <row r="318" spans="1:5">
      <c r="A318" s="54"/>
      <c r="E318" s="37"/>
    </row>
    <row r="319" spans="1:5">
      <c r="A319" s="54"/>
      <c r="E319" s="37"/>
    </row>
    <row r="320" spans="1:5">
      <c r="A320" s="54"/>
      <c r="E320" s="37"/>
    </row>
    <row r="321" spans="1:5">
      <c r="A321" s="54"/>
      <c r="E321" s="37"/>
    </row>
    <row r="322" spans="1:5">
      <c r="A322" s="54"/>
      <c r="E322" s="37"/>
    </row>
    <row r="323" spans="1:5">
      <c r="A323" s="54"/>
      <c r="E323" s="37"/>
    </row>
    <row r="324" spans="1:5">
      <c r="A324" s="54"/>
      <c r="E324" s="37"/>
    </row>
    <row r="325" spans="1:5">
      <c r="A325" s="54"/>
      <c r="E325" s="37"/>
    </row>
    <row r="326" spans="1:5">
      <c r="A326" s="54"/>
      <c r="E326" s="37"/>
    </row>
    <row r="327" spans="1:5">
      <c r="A327" s="54"/>
      <c r="E327" s="37"/>
    </row>
    <row r="328" spans="1:5">
      <c r="A328" s="54"/>
      <c r="E328" s="37"/>
    </row>
    <row r="329" spans="1:5">
      <c r="A329" s="54"/>
      <c r="E329" s="37"/>
    </row>
    <row r="330" spans="1:5">
      <c r="A330" s="54"/>
      <c r="E330" s="37"/>
    </row>
    <row r="331" spans="1:5">
      <c r="A331" s="54"/>
      <c r="E331" s="37"/>
    </row>
    <row r="332" spans="1:5">
      <c r="A332" s="54"/>
      <c r="E332" s="37"/>
    </row>
    <row r="333" spans="1:5">
      <c r="A333" s="54"/>
      <c r="E333" s="37"/>
    </row>
    <row r="334" spans="1:5">
      <c r="A334" s="54"/>
      <c r="E334" s="37"/>
    </row>
    <row r="335" spans="1:5">
      <c r="A335" s="54"/>
      <c r="E335" s="37"/>
    </row>
    <row r="336" spans="1:5">
      <c r="A336" s="54"/>
      <c r="E336" s="37"/>
    </row>
    <row r="337" spans="1:5">
      <c r="A337" s="54"/>
      <c r="E337" s="37"/>
    </row>
    <row r="338" spans="1:5">
      <c r="A338" s="54"/>
      <c r="E338" s="37"/>
    </row>
    <row r="339" spans="1:5">
      <c r="A339" s="54"/>
      <c r="E339" s="37"/>
    </row>
    <row r="340" spans="1:5">
      <c r="A340" s="54"/>
      <c r="E340" s="37"/>
    </row>
    <row r="341" spans="1:5">
      <c r="A341" s="54"/>
      <c r="E341" s="37"/>
    </row>
    <row r="342" spans="1:5">
      <c r="A342" s="54"/>
      <c r="E342" s="37"/>
    </row>
    <row r="343" spans="1:5">
      <c r="A343" s="54"/>
      <c r="E343" s="37"/>
    </row>
    <row r="344" spans="1:5">
      <c r="A344" s="54"/>
      <c r="E344" s="37"/>
    </row>
    <row r="345" spans="1:5">
      <c r="A345" s="54"/>
      <c r="E345" s="37"/>
    </row>
    <row r="346" spans="1:5">
      <c r="A346" s="54"/>
      <c r="E346" s="37"/>
    </row>
    <row r="347" spans="1:5">
      <c r="A347" s="54"/>
      <c r="E347" s="37"/>
    </row>
    <row r="348" spans="1:5">
      <c r="A348" s="54"/>
      <c r="E348" s="37"/>
    </row>
    <row r="349" spans="1:5">
      <c r="A349" s="54"/>
      <c r="E349" s="37"/>
    </row>
    <row r="350" spans="1:5">
      <c r="A350" s="54"/>
      <c r="E350" s="37"/>
    </row>
    <row r="351" spans="1:5">
      <c r="A351" s="54"/>
      <c r="E351" s="37"/>
    </row>
    <row r="352" spans="1:5">
      <c r="A352" s="54"/>
      <c r="E352" s="37"/>
    </row>
    <row r="353" spans="1:5">
      <c r="A353" s="54"/>
      <c r="E353" s="37"/>
    </row>
    <row r="354" spans="1:5">
      <c r="A354" s="54"/>
      <c r="E354" s="37"/>
    </row>
    <row r="355" spans="1:5">
      <c r="A355" s="54"/>
      <c r="E355" s="37"/>
    </row>
    <row r="356" spans="1:5">
      <c r="A356" s="54"/>
      <c r="E356" s="37"/>
    </row>
    <row r="357" spans="1:5">
      <c r="A357" s="54"/>
      <c r="E357" s="37"/>
    </row>
    <row r="358" spans="1:5">
      <c r="A358" s="54"/>
      <c r="E358" s="37"/>
    </row>
    <row r="359" spans="1:5">
      <c r="A359" s="54"/>
      <c r="E359" s="37"/>
    </row>
    <row r="360" spans="1:5">
      <c r="A360" s="54"/>
      <c r="E360" s="37"/>
    </row>
    <row r="361" spans="1:5">
      <c r="A361" s="54"/>
      <c r="E361" s="37"/>
    </row>
    <row r="362" spans="1:5">
      <c r="A362" s="54"/>
      <c r="E362" s="37"/>
    </row>
    <row r="363" spans="1:5">
      <c r="A363" s="54"/>
      <c r="E363" s="37"/>
    </row>
    <row r="364" spans="1:5">
      <c r="A364" s="54"/>
      <c r="E364" s="37"/>
    </row>
    <row r="365" spans="1:5">
      <c r="A365" s="54"/>
      <c r="E365" s="37"/>
    </row>
    <row r="366" spans="1:5">
      <c r="A366" s="54"/>
      <c r="E366" s="37"/>
    </row>
    <row r="367" spans="1:5">
      <c r="A367" s="54"/>
      <c r="E367" s="37"/>
    </row>
    <row r="368" spans="1:5">
      <c r="A368" s="54"/>
      <c r="E368" s="37"/>
    </row>
    <row r="369" spans="1:5">
      <c r="A369" s="54"/>
      <c r="E369" s="37"/>
    </row>
    <row r="370" spans="1:5">
      <c r="A370" s="54"/>
      <c r="E370" s="37"/>
    </row>
    <row r="371" spans="1:5">
      <c r="A371" s="54"/>
      <c r="E371" s="37"/>
    </row>
    <row r="372" spans="1:5">
      <c r="A372" s="54"/>
      <c r="E372" s="37"/>
    </row>
    <row r="373" spans="1:5">
      <c r="A373" s="54"/>
      <c r="E373" s="37"/>
    </row>
    <row r="374" spans="1:5">
      <c r="A374" s="54"/>
      <c r="E374" s="37"/>
    </row>
    <row r="375" spans="1:5">
      <c r="A375" s="54"/>
      <c r="E375" s="37"/>
    </row>
    <row r="376" spans="1:5">
      <c r="A376" s="54"/>
      <c r="E376" s="37"/>
    </row>
    <row r="377" spans="1:5">
      <c r="A377" s="54"/>
      <c r="E377" s="37"/>
    </row>
    <row r="378" spans="1:5">
      <c r="A378" s="54"/>
      <c r="E378" s="37"/>
    </row>
    <row r="379" spans="1:5">
      <c r="A379" s="54"/>
      <c r="E379" s="37"/>
    </row>
    <row r="380" spans="1:5">
      <c r="A380" s="54"/>
      <c r="E380" s="37"/>
    </row>
    <row r="381" spans="1:5">
      <c r="A381" s="54"/>
      <c r="E381" s="37"/>
    </row>
    <row r="382" spans="1:5">
      <c r="A382" s="54"/>
      <c r="E382" s="37"/>
    </row>
    <row r="383" spans="1:5">
      <c r="A383" s="54"/>
      <c r="E383" s="37"/>
    </row>
    <row r="384" spans="1:5">
      <c r="A384" s="54"/>
      <c r="E384" s="37"/>
    </row>
    <row r="385" spans="1:5">
      <c r="A385" s="54"/>
      <c r="E385" s="37"/>
    </row>
    <row r="386" spans="1:5">
      <c r="A386" s="54"/>
      <c r="E386" s="37"/>
    </row>
    <row r="387" spans="1:5">
      <c r="A387" s="54"/>
      <c r="E387" s="37"/>
    </row>
    <row r="388" spans="1:5">
      <c r="A388" s="54"/>
      <c r="E388" s="37"/>
    </row>
    <row r="389" spans="1:5">
      <c r="A389" s="54"/>
      <c r="E389" s="37"/>
    </row>
    <row r="390" spans="1:5">
      <c r="A390" s="54"/>
      <c r="E390" s="37"/>
    </row>
    <row r="391" spans="1:5">
      <c r="A391" s="54"/>
      <c r="E391" s="37"/>
    </row>
    <row r="392" spans="1:5">
      <c r="A392" s="54"/>
      <c r="E392" s="37"/>
    </row>
    <row r="393" spans="1:5">
      <c r="A393" s="54"/>
      <c r="E393" s="37"/>
    </row>
    <row r="394" spans="1:5">
      <c r="A394" s="54"/>
      <c r="E394" s="37"/>
    </row>
    <row r="395" spans="1:5">
      <c r="A395" s="54"/>
      <c r="E395" s="37"/>
    </row>
    <row r="396" spans="1:5">
      <c r="A396" s="54"/>
      <c r="E396" s="37"/>
    </row>
    <row r="397" spans="1:5">
      <c r="A397" s="54"/>
      <c r="E397" s="37"/>
    </row>
    <row r="398" spans="1:5">
      <c r="A398" s="54"/>
      <c r="E398" s="37"/>
    </row>
    <row r="399" spans="1:5">
      <c r="A399" s="54"/>
      <c r="E399" s="37"/>
    </row>
    <row r="400" spans="1:5">
      <c r="A400" s="54"/>
      <c r="E400" s="37"/>
    </row>
    <row r="401" spans="1:5">
      <c r="A401" s="54"/>
      <c r="E401" s="37"/>
    </row>
    <row r="402" spans="1:5">
      <c r="A402" s="54"/>
      <c r="E402" s="37"/>
    </row>
    <row r="403" spans="1:5">
      <c r="A403" s="54"/>
      <c r="E403" s="37"/>
    </row>
    <row r="404" spans="1:5">
      <c r="A404" s="54"/>
      <c r="E404" s="37"/>
    </row>
    <row r="405" spans="1:5">
      <c r="A405" s="54"/>
      <c r="E405" s="37"/>
    </row>
    <row r="406" spans="1:5">
      <c r="A406" s="54"/>
      <c r="E406" s="37"/>
    </row>
    <row r="407" spans="1:5">
      <c r="A407" s="54"/>
      <c r="E407" s="37"/>
    </row>
    <row r="408" spans="1:5">
      <c r="A408" s="54"/>
      <c r="E408" s="37"/>
    </row>
    <row r="409" spans="1:5">
      <c r="A409" s="54"/>
      <c r="E409" s="37"/>
    </row>
    <row r="410" spans="1:5">
      <c r="A410" s="54"/>
      <c r="E410" s="37"/>
    </row>
    <row r="411" spans="1:5">
      <c r="A411" s="54"/>
      <c r="E411" s="37"/>
    </row>
    <row r="412" spans="1:5">
      <c r="A412" s="54"/>
      <c r="E412" s="37"/>
    </row>
    <row r="413" spans="1:5">
      <c r="A413" s="54"/>
      <c r="E413" s="37"/>
    </row>
    <row r="414" spans="1:5">
      <c r="A414" s="54"/>
      <c r="E414" s="37"/>
    </row>
    <row r="415" spans="1:5">
      <c r="A415" s="54"/>
      <c r="E415" s="37"/>
    </row>
    <row r="416" spans="1:5">
      <c r="A416" s="54"/>
      <c r="E416" s="37"/>
    </row>
    <row r="417" spans="1:5">
      <c r="A417" s="54"/>
      <c r="E417" s="37"/>
    </row>
    <row r="418" spans="1:5">
      <c r="A418" s="54"/>
      <c r="E418" s="37"/>
    </row>
    <row r="419" spans="1:5">
      <c r="A419" s="54"/>
      <c r="E419" s="37"/>
    </row>
    <row r="420" spans="1:5">
      <c r="A420" s="54"/>
      <c r="E420" s="37"/>
    </row>
    <row r="421" spans="1:5">
      <c r="A421" s="54"/>
      <c r="E421" s="37"/>
    </row>
    <row r="422" spans="1:5">
      <c r="A422" s="54"/>
      <c r="E422" s="37"/>
    </row>
    <row r="423" spans="1:5">
      <c r="A423" s="54"/>
      <c r="E423" s="37"/>
    </row>
    <row r="424" spans="1:5">
      <c r="A424" s="54"/>
      <c r="E424" s="37"/>
    </row>
    <row r="425" spans="1:5">
      <c r="A425" s="54"/>
      <c r="E425" s="37"/>
    </row>
    <row r="426" spans="1:5">
      <c r="A426" s="54"/>
      <c r="E426" s="37"/>
    </row>
    <row r="427" spans="1:5">
      <c r="A427" s="54"/>
      <c r="E427" s="37"/>
    </row>
    <row r="428" spans="1:5">
      <c r="A428" s="54"/>
      <c r="E428" s="37"/>
    </row>
    <row r="429" spans="1:5">
      <c r="A429" s="54"/>
      <c r="E429" s="37"/>
    </row>
    <row r="430" spans="1:5">
      <c r="A430" s="54"/>
      <c r="E430" s="37"/>
    </row>
    <row r="431" spans="1:5">
      <c r="A431" s="54"/>
      <c r="E431" s="37"/>
    </row>
    <row r="432" spans="1:5">
      <c r="A432" s="54"/>
      <c r="E432" s="37"/>
    </row>
    <row r="433" spans="1:5">
      <c r="A433" s="54"/>
      <c r="E433" s="37"/>
    </row>
    <row r="434" spans="1:5">
      <c r="A434" s="54"/>
      <c r="E434" s="37"/>
    </row>
    <row r="435" spans="1:5">
      <c r="A435" s="54"/>
      <c r="E435" s="37"/>
    </row>
    <row r="436" spans="1:5">
      <c r="A436" s="54"/>
      <c r="E436" s="37"/>
    </row>
    <row r="437" spans="1:5">
      <c r="A437" s="54"/>
      <c r="E437" s="37"/>
    </row>
    <row r="438" spans="1:5">
      <c r="A438" s="54"/>
      <c r="E438" s="37"/>
    </row>
    <row r="439" spans="1:5">
      <c r="A439" s="54"/>
      <c r="E439" s="37"/>
    </row>
    <row r="440" spans="1:5">
      <c r="A440" s="54"/>
      <c r="E440" s="37"/>
    </row>
    <row r="441" spans="1:5">
      <c r="A441" s="54"/>
      <c r="E441" s="37"/>
    </row>
    <row r="442" spans="1:5">
      <c r="A442" s="54"/>
      <c r="E442" s="37"/>
    </row>
    <row r="443" spans="1:5">
      <c r="A443" s="54"/>
      <c r="E443" s="37"/>
    </row>
    <row r="444" spans="1:5">
      <c r="A444" s="54"/>
      <c r="E444" s="37"/>
    </row>
    <row r="445" spans="1:5">
      <c r="A445" s="54"/>
      <c r="E445" s="37"/>
    </row>
    <row r="446" spans="1:5">
      <c r="A446" s="54"/>
      <c r="E446" s="37"/>
    </row>
    <row r="447" spans="1:5">
      <c r="A447" s="54"/>
      <c r="E447" s="37"/>
    </row>
    <row r="448" spans="1:5">
      <c r="A448" s="54"/>
      <c r="E448" s="37"/>
    </row>
    <row r="449" spans="1:5">
      <c r="A449" s="54"/>
      <c r="E449" s="37"/>
    </row>
    <row r="450" spans="1:5">
      <c r="A450" s="54"/>
      <c r="E450" s="37"/>
    </row>
    <row r="451" spans="1:5">
      <c r="A451" s="54"/>
      <c r="E451" s="37"/>
    </row>
    <row r="452" spans="1:5">
      <c r="A452" s="54"/>
      <c r="E452" s="37"/>
    </row>
    <row r="453" spans="1:5">
      <c r="A453" s="54"/>
      <c r="E453" s="37"/>
    </row>
    <row r="454" spans="1:5">
      <c r="A454" s="54"/>
      <c r="E454" s="37"/>
    </row>
    <row r="455" spans="1:5">
      <c r="A455" s="54"/>
      <c r="E455" s="37"/>
    </row>
    <row r="456" spans="1:5">
      <c r="A456" s="54"/>
      <c r="E456" s="37"/>
    </row>
    <row r="457" spans="1:5">
      <c r="A457" s="54"/>
      <c r="E457" s="37"/>
    </row>
    <row r="458" spans="1:5">
      <c r="A458" s="54"/>
      <c r="E458" s="37"/>
    </row>
    <row r="459" spans="1:5">
      <c r="A459" s="54"/>
      <c r="E459" s="37"/>
    </row>
    <row r="460" spans="1:5">
      <c r="A460" s="54"/>
      <c r="E460" s="37"/>
    </row>
    <row r="461" spans="1:5">
      <c r="A461" s="54"/>
      <c r="E461" s="37"/>
    </row>
    <row r="462" spans="1:5">
      <c r="A462" s="54"/>
      <c r="E462" s="37"/>
    </row>
    <row r="463" spans="1:5">
      <c r="A463" s="54"/>
      <c r="E463" s="37"/>
    </row>
    <row r="464" spans="1:5">
      <c r="A464" s="54"/>
      <c r="E464" s="37"/>
    </row>
    <row r="465" spans="1:5">
      <c r="A465" s="54"/>
      <c r="E465" s="37"/>
    </row>
    <row r="466" spans="1:5">
      <c r="A466" s="54"/>
      <c r="E466" s="37"/>
    </row>
    <row r="467" spans="1:5">
      <c r="A467" s="54"/>
      <c r="E467" s="37"/>
    </row>
    <row r="468" spans="1:5">
      <c r="A468" s="54"/>
      <c r="E468" s="37"/>
    </row>
    <row r="469" spans="1:5">
      <c r="E469" s="37"/>
    </row>
    <row r="470" spans="1:5">
      <c r="E470" s="37"/>
    </row>
    <row r="471" spans="1:5">
      <c r="E471" s="37"/>
    </row>
    <row r="472" spans="1:5">
      <c r="E472" s="37"/>
    </row>
    <row r="473" spans="1:5">
      <c r="E473" s="37"/>
    </row>
    <row r="474" spans="1:5">
      <c r="E474" s="37"/>
    </row>
    <row r="475" spans="1:5">
      <c r="E475" s="37"/>
    </row>
    <row r="476" spans="1:5">
      <c r="E476" s="37"/>
    </row>
    <row r="477" spans="1:5">
      <c r="E477" s="37"/>
    </row>
    <row r="478" spans="1:5">
      <c r="E478" s="37"/>
    </row>
    <row r="479" spans="1:5">
      <c r="E479" s="37"/>
    </row>
    <row r="480" spans="1:5">
      <c r="E480" s="37"/>
    </row>
    <row r="481" spans="5:5">
      <c r="E481" s="37"/>
    </row>
    <row r="482" spans="5:5">
      <c r="E482" s="37"/>
    </row>
    <row r="483" spans="5:5">
      <c r="E483" s="37"/>
    </row>
    <row r="484" spans="5:5">
      <c r="E484" s="37"/>
    </row>
    <row r="485" spans="5:5">
      <c r="E485" s="37"/>
    </row>
    <row r="486" spans="5:5">
      <c r="E486" s="37"/>
    </row>
    <row r="487" spans="5:5">
      <c r="E487" s="37"/>
    </row>
    <row r="488" spans="5:5">
      <c r="E488" s="37"/>
    </row>
    <row r="489" spans="5:5">
      <c r="E489" s="37"/>
    </row>
    <row r="490" spans="5:5">
      <c r="E490" s="37"/>
    </row>
    <row r="491" spans="5:5">
      <c r="E491" s="37"/>
    </row>
    <row r="492" spans="5:5">
      <c r="E492" s="37"/>
    </row>
    <row r="493" spans="5:5">
      <c r="E493" s="37"/>
    </row>
    <row r="494" spans="5:5">
      <c r="E494" s="37"/>
    </row>
    <row r="495" spans="5:5">
      <c r="E495" s="37"/>
    </row>
    <row r="496" spans="5:5">
      <c r="E496" s="37"/>
    </row>
    <row r="497" spans="5:5">
      <c r="E497" s="37"/>
    </row>
    <row r="498" spans="5:5">
      <c r="E498" s="37"/>
    </row>
    <row r="499" spans="5:5">
      <c r="E499" s="37"/>
    </row>
    <row r="500" spans="5:5">
      <c r="E500" s="37"/>
    </row>
    <row r="501" spans="5:5">
      <c r="E501" s="37"/>
    </row>
    <row r="502" spans="5:5">
      <c r="E502" s="37"/>
    </row>
    <row r="503" spans="5:5">
      <c r="E503" s="37"/>
    </row>
    <row r="504" spans="5:5">
      <c r="E504" s="37"/>
    </row>
    <row r="505" spans="5:5">
      <c r="E505" s="37"/>
    </row>
    <row r="506" spans="5:5">
      <c r="E506" s="37"/>
    </row>
    <row r="507" spans="5:5">
      <c r="E507" s="37"/>
    </row>
    <row r="508" spans="5:5">
      <c r="E508" s="37"/>
    </row>
    <row r="509" spans="5:5">
      <c r="E509" s="37"/>
    </row>
    <row r="510" spans="5:5">
      <c r="E510" s="37"/>
    </row>
    <row r="511" spans="5:5">
      <c r="E511" s="37"/>
    </row>
    <row r="512" spans="5:5">
      <c r="E512" s="37"/>
    </row>
    <row r="513" spans="5:5">
      <c r="E513" s="37"/>
    </row>
    <row r="514" spans="5:5">
      <c r="E514" s="37"/>
    </row>
    <row r="515" spans="5:5">
      <c r="E515" s="37"/>
    </row>
    <row r="516" spans="5:5">
      <c r="E516" s="37"/>
    </row>
    <row r="517" spans="5:5">
      <c r="E517" s="37"/>
    </row>
    <row r="518" spans="5:5">
      <c r="E518" s="37"/>
    </row>
    <row r="519" spans="5:5">
      <c r="E519" s="37"/>
    </row>
    <row r="520" spans="5:5">
      <c r="E520" s="37"/>
    </row>
    <row r="521" spans="5:5">
      <c r="E521" s="37"/>
    </row>
    <row r="522" spans="5:5">
      <c r="E522" s="37"/>
    </row>
    <row r="523" spans="5:5">
      <c r="E523" s="37"/>
    </row>
    <row r="524" spans="5:5">
      <c r="E524" s="37"/>
    </row>
    <row r="525" spans="5:5">
      <c r="E525" s="37"/>
    </row>
  </sheetData>
  <sortState xmlns:xlrd2="http://schemas.microsoft.com/office/spreadsheetml/2017/richdata2" ref="A4:H111">
    <sortCondition ref="C4:C111"/>
  </sortState>
  <mergeCells count="2">
    <mergeCell ref="A1:H1"/>
    <mergeCell ref="A2:H2"/>
  </mergeCells>
  <conditionalFormatting sqref="G4:G173">
    <cfRule type="containsText" dxfId="2967" priority="1" operator="containsText" text="VENCIDO">
      <formula>NOT(ISERROR(SEARCH("VENCIDO",G4)))</formula>
    </cfRule>
    <cfRule type="containsText" dxfId="2966" priority="2" operator="containsText" text="HECHO">
      <formula>NOT(ISERROR(SEARCH("HECHO",G4)))</formula>
    </cfRule>
    <cfRule type="containsText" dxfId="2965" priority="3" operator="containsText" text="PROGRAMADO">
      <formula>NOT(ISERROR(SEARCH("PROGRAMADO",G4)))</formula>
    </cfRule>
  </conditionalFormatting>
  <conditionalFormatting sqref="G175:G178">
    <cfRule type="containsText" dxfId="2964" priority="4" operator="containsText" text="VENCIDO">
      <formula>NOT(ISERROR(SEARCH("VENCIDO",G175)))</formula>
    </cfRule>
    <cfRule type="containsText" dxfId="2963" priority="5" operator="containsText" text="HECHO">
      <formula>NOT(ISERROR(SEARCH("HECHO",G175)))</formula>
    </cfRule>
    <cfRule type="containsText" dxfId="2962" priority="6" operator="containsText" text="PROGRAMADO">
      <formula>NOT(ISERROR(SEARCH("PROGRAMADO",G175)))</formula>
    </cfRule>
  </conditionalFormatting>
  <printOptions horizontalCentered="1"/>
  <pageMargins left="0.15748031496062992" right="0.35433070866141736" top="0.59055118110236227" bottom="0.39370078740157483" header="0.51181102362204722" footer="0.51181102362204722"/>
  <pageSetup paperSize="9" orientation="landscape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Listas!$C$2:$C$6</xm:f>
          </x14:formula1>
          <xm:sqref>G4:G197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6"/>
  <sheetViews>
    <sheetView showGridLines="0" zoomScaleNormal="100" workbookViewId="0">
      <pane ySplit="4" topLeftCell="A14" activePane="bottomLeft" state="frozen"/>
      <selection pane="bottomLeft" activeCell="E4" sqref="E4"/>
    </sheetView>
  </sheetViews>
  <sheetFormatPr baseColWidth="10" defaultColWidth="8.6640625" defaultRowHeight="14.4"/>
  <cols>
    <col min="1" max="1" width="4.77734375" style="39" bestFit="1" customWidth="1"/>
    <col min="2" max="2" width="19.33203125" style="47" bestFit="1" customWidth="1"/>
    <col min="3" max="3" width="37.6640625" style="39" customWidth="1"/>
    <col min="4" max="4" width="8.77734375" style="39" bestFit="1" customWidth="1"/>
    <col min="5" max="5" width="12.6640625" style="39" bestFit="1" customWidth="1"/>
    <col min="6" max="6" width="36.6640625" style="39" customWidth="1"/>
    <col min="7" max="16384" width="8.6640625" style="39"/>
  </cols>
  <sheetData>
    <row r="1" spans="1:6" ht="30" customHeight="1">
      <c r="A1" s="88" t="s">
        <v>136</v>
      </c>
      <c r="B1" s="88"/>
      <c r="C1" s="88"/>
      <c r="D1" s="88"/>
      <c r="E1" s="88"/>
      <c r="F1" s="88"/>
    </row>
    <row r="2" spans="1:6" ht="32.4" customHeight="1">
      <c r="A2" s="91" t="s">
        <v>0</v>
      </c>
      <c r="B2" s="91"/>
      <c r="C2" s="91"/>
      <c r="D2" s="40"/>
      <c r="E2" s="89" t="s">
        <v>130</v>
      </c>
      <c r="F2" s="89"/>
    </row>
    <row r="3" spans="1:6" ht="39" customHeight="1">
      <c r="A3" s="92" t="s">
        <v>134</v>
      </c>
      <c r="B3" s="92"/>
      <c r="C3" s="92"/>
      <c r="D3" s="41"/>
      <c r="E3" s="90">
        <v>46093</v>
      </c>
      <c r="F3" s="90"/>
    </row>
    <row r="4" spans="1:6" ht="18" customHeight="1">
      <c r="A4" s="42" t="s">
        <v>133</v>
      </c>
      <c r="B4" s="43" t="s">
        <v>0</v>
      </c>
      <c r="C4" s="43" t="s">
        <v>35</v>
      </c>
      <c r="D4" s="42" t="s">
        <v>43</v>
      </c>
      <c r="E4" s="44" t="s">
        <v>38</v>
      </c>
      <c r="F4" s="45" t="s">
        <v>42</v>
      </c>
    </row>
    <row r="5" spans="1:6" ht="22.8">
      <c r="A5" s="46">
        <v>1</v>
      </c>
      <c r="B5" s="18" t="str" cm="1">
        <f t="array" ref="B5:F25">_xlfn._xlws.FILTER(CHOOSE({1,2,3,4,5},'Planificación Anual'!C4:C325,'Planificación Anual'!D4:D325,'Planificación Anual'!E4:E325,'Planificación Anual'!G4:G325,'Planificación Anual'!H4:H325),('Planificación Anual'!E4:E325&lt;&gt;"")*(TEXT('Planificación Anual'!E4:E325,"yyyymm")=TEXT('Vista Mensual'!E3,"yyyymm"))*IF('Vista Mensual'!A3="Todas",1,'Planificación Anual'!C4:C325='Vista Mensual'!A3),"sin respuesta")</f>
        <v>APLOMO</v>
      </c>
      <c r="C5" s="48" t="str">
        <v>Envío de índices de accidentabilidad enero y febrero 2026</v>
      </c>
      <c r="D5" s="49">
        <v>46087</v>
      </c>
      <c r="E5" s="50" t="str">
        <v>HECHO</v>
      </c>
      <c r="F5" s="51">
        <v>0</v>
      </c>
    </row>
    <row r="6" spans="1:6">
      <c r="A6" s="46">
        <v>2</v>
      </c>
      <c r="B6" s="48" t="str">
        <v>APLOMO</v>
      </c>
      <c r="C6" s="48" t="str">
        <v>Inspección de seguridad</v>
      </c>
      <c r="D6" s="49">
        <v>46100</v>
      </c>
      <c r="E6" s="50" t="str">
        <v>HECHO</v>
      </c>
      <c r="F6" s="51">
        <v>0</v>
      </c>
    </row>
    <row r="7" spans="1:6">
      <c r="A7" s="46">
        <v>3</v>
      </c>
      <c r="B7" s="48" t="str">
        <v>APLOMO</v>
      </c>
      <c r="C7" s="48" t="str">
        <v>Reporte mensual SYSO SACEEM</v>
      </c>
      <c r="D7" s="49">
        <v>46084</v>
      </c>
      <c r="E7" s="50" t="str">
        <v>PROGRAMADO</v>
      </c>
      <c r="F7" s="51">
        <v>0</v>
      </c>
    </row>
    <row r="8" spans="1:6">
      <c r="A8" s="46">
        <v>4</v>
      </c>
      <c r="B8" s="48" t="str">
        <v>ESON</v>
      </c>
      <c r="C8" s="48" t="str">
        <v>Inspección de seguridad – Obra Rubicón</v>
      </c>
      <c r="D8" s="49">
        <v>46084</v>
      </c>
      <c r="E8" s="50" t="str">
        <v>HECHO</v>
      </c>
      <c r="F8" s="51">
        <v>0</v>
      </c>
    </row>
    <row r="9" spans="1:6">
      <c r="A9" s="46">
        <v>5</v>
      </c>
      <c r="B9" s="48" t="str">
        <v>ESON</v>
      </c>
      <c r="C9" s="48" t="str">
        <v>Inspección de seguridad – Obra Avita Gard</v>
      </c>
      <c r="D9" s="49">
        <v>46093</v>
      </c>
      <c r="E9" s="50" t="str">
        <v>HECHO</v>
      </c>
      <c r="F9" s="51">
        <v>0</v>
      </c>
    </row>
    <row r="10" spans="1:6">
      <c r="A10" s="46">
        <v>6</v>
      </c>
      <c r="B10" s="48" t="str">
        <v>ESON</v>
      </c>
      <c r="C10" s="48" t="str">
        <v>Asamblea de seguridad SUNCA</v>
      </c>
      <c r="D10" s="49">
        <v>46101</v>
      </c>
      <c r="E10" s="50" t="str">
        <v>HECHO</v>
      </c>
      <c r="F10" s="51">
        <v>0</v>
      </c>
    </row>
    <row r="11" spans="1:6">
      <c r="A11" s="46">
        <v>7</v>
      </c>
      <c r="B11" s="48" t="str">
        <v>ESON</v>
      </c>
      <c r="C11" s="48" t="str">
        <v>Inspección de Seguridad</v>
      </c>
      <c r="D11" s="49">
        <v>46106</v>
      </c>
      <c r="E11" s="50" t="str">
        <v>PROGRAMADO</v>
      </c>
      <c r="F11" s="51">
        <v>0</v>
      </c>
    </row>
    <row r="12" spans="1:6">
      <c r="A12" s="46">
        <v>8</v>
      </c>
      <c r="B12" s="52" t="str">
        <v>ESON</v>
      </c>
      <c r="C12" s="52" t="str">
        <v>Asamblea de seguridad SUNCA</v>
      </c>
      <c r="D12" s="53">
        <v>46101</v>
      </c>
      <c r="E12" s="51" t="str">
        <v>HECHO</v>
      </c>
      <c r="F12" s="51" t="str">
        <v>Acta enviada 30/03/2026</v>
      </c>
    </row>
    <row r="13" spans="1:6" ht="22.8">
      <c r="A13" s="46">
        <v>9</v>
      </c>
      <c r="B13" s="52" t="str">
        <v>MOVIL UNO</v>
      </c>
      <c r="C13" s="52" t="str">
        <v>Capacitación Riesgo Químico y Simulacro de derrame de PQ</v>
      </c>
      <c r="D13" s="53">
        <v>46105</v>
      </c>
      <c r="E13" s="51" t="str">
        <v>HECHO</v>
      </c>
      <c r="F13" s="51" t="str">
        <v>Informe de Simulacro enviado 30/03/2026</v>
      </c>
    </row>
    <row r="14" spans="1:6" ht="22.8">
      <c r="A14" s="46">
        <v>10</v>
      </c>
      <c r="B14" s="52" t="str">
        <v>MOVIL UNO</v>
      </c>
      <c r="C14" s="52" t="str">
        <v>Envié Informe de Inspecciones de Seguridad de Marzo</v>
      </c>
      <c r="D14" s="53">
        <v>46111</v>
      </c>
      <c r="E14" s="51" t="str">
        <v>HECHO</v>
      </c>
      <c r="F14" s="51">
        <v>0</v>
      </c>
    </row>
    <row r="15" spans="1:6">
      <c r="A15" s="46">
        <v>11</v>
      </c>
      <c r="B15" s="52" t="str">
        <v>MOVIL UNO</v>
      </c>
      <c r="C15" s="52" t="str">
        <v>Inspección de Seguridad</v>
      </c>
      <c r="D15" s="53">
        <v>46105</v>
      </c>
      <c r="E15" s="51" t="str">
        <v>HECHO</v>
      </c>
      <c r="F15" s="51" t="str">
        <v>Informe de Simulacro enviado 30/03/2026</v>
      </c>
    </row>
    <row r="16" spans="1:6">
      <c r="A16" s="46">
        <v>12</v>
      </c>
      <c r="B16" s="52" t="str">
        <v>MOVIL UNO</v>
      </c>
      <c r="C16" s="52" t="str">
        <v>Reporte mensual de SST (requisito SGI)</v>
      </c>
      <c r="D16" s="53">
        <v>46088</v>
      </c>
      <c r="E16" s="51" t="str">
        <v>PROGRAMADO</v>
      </c>
      <c r="F16" s="51">
        <v>0</v>
      </c>
    </row>
    <row r="17" spans="1:6">
      <c r="A17" s="46">
        <v>13</v>
      </c>
      <c r="B17" s="52" t="str">
        <v>OCEANUS</v>
      </c>
      <c r="C17" s="52" t="str">
        <v>Inspección de seguridad</v>
      </c>
      <c r="D17" s="53">
        <v>46083</v>
      </c>
      <c r="E17" s="51" t="str">
        <v>HECHO</v>
      </c>
      <c r="F17" s="51">
        <v>0</v>
      </c>
    </row>
    <row r="18" spans="1:6">
      <c r="A18" s="46">
        <v>14</v>
      </c>
      <c r="B18" s="52" t="str">
        <v>OCEANUS</v>
      </c>
      <c r="C18" s="52" t="str">
        <v>Confección de informes – últimas dos semanas</v>
      </c>
      <c r="D18" s="53">
        <v>46084</v>
      </c>
      <c r="E18" s="51" t="str">
        <v>HECHO</v>
      </c>
      <c r="F18" s="51">
        <v>0</v>
      </c>
    </row>
    <row r="19" spans="1:6">
      <c r="A19" s="46">
        <v>15</v>
      </c>
      <c r="B19" s="52" t="str">
        <v>OCEANUS</v>
      </c>
      <c r="C19" s="52" t="str">
        <v>Envío de informe semanal</v>
      </c>
      <c r="D19" s="53">
        <v>46087</v>
      </c>
      <c r="E19" s="51" t="str">
        <v>HECHO</v>
      </c>
      <c r="F19" s="51">
        <v>0</v>
      </c>
    </row>
    <row r="20" spans="1:6">
      <c r="A20" s="46">
        <v>16</v>
      </c>
      <c r="B20" s="52" t="str">
        <v>OCEANUS</v>
      </c>
      <c r="C20" s="52" t="str">
        <v>Inspección de seguridad</v>
      </c>
      <c r="D20" s="53">
        <v>46090</v>
      </c>
      <c r="E20" s="51" t="str">
        <v>HECHO</v>
      </c>
      <c r="F20" s="51">
        <v>0</v>
      </c>
    </row>
    <row r="21" spans="1:6">
      <c r="A21" s="46">
        <v>17</v>
      </c>
      <c r="B21" s="52" t="str">
        <v>OCEANUS</v>
      </c>
      <c r="C21" s="52" t="str">
        <v>Inspección de seguridad</v>
      </c>
      <c r="D21" s="53">
        <v>46099</v>
      </c>
      <c r="E21" s="51" t="str">
        <v>HECHO</v>
      </c>
      <c r="F21" s="51">
        <v>0</v>
      </c>
    </row>
    <row r="22" spans="1:6">
      <c r="A22" s="46">
        <v>18</v>
      </c>
      <c r="B22" s="52" t="str">
        <v>OCEANUS</v>
      </c>
      <c r="C22" s="52" t="str">
        <v>Envío de reporte N.º 007</v>
      </c>
      <c r="D22" s="53">
        <v>46100</v>
      </c>
      <c r="E22" s="51" t="str">
        <v>HECHO</v>
      </c>
      <c r="F22" s="51">
        <v>0</v>
      </c>
    </row>
    <row r="23" spans="1:6">
      <c r="A23" s="46">
        <v>19</v>
      </c>
      <c r="B23" s="52" t="str">
        <v>OCEANUS</v>
      </c>
      <c r="C23" s="52" t="str">
        <v>Inspección de seguridad</v>
      </c>
      <c r="D23" s="53">
        <v>46111</v>
      </c>
      <c r="E23" s="51" t="str">
        <v>PROGRAMADO</v>
      </c>
      <c r="F23" s="51">
        <v>0</v>
      </c>
    </row>
    <row r="24" spans="1:6">
      <c r="A24" s="46">
        <v>20</v>
      </c>
      <c r="B24" s="52" t="str">
        <v>RABUFFER</v>
      </c>
      <c r="C24" s="52" t="str">
        <v>Comunicación con Enrique para certificación</v>
      </c>
      <c r="D24" s="53">
        <v>46084</v>
      </c>
      <c r="E24" s="51" t="str">
        <v>HECHO</v>
      </c>
      <c r="F24" s="51">
        <v>0</v>
      </c>
    </row>
    <row r="25" spans="1:6">
      <c r="A25" s="46">
        <v>21</v>
      </c>
      <c r="B25" s="52" t="str">
        <v>RABUFFER</v>
      </c>
      <c r="C25" s="52" t="str">
        <v>Inducción de Seguridad</v>
      </c>
      <c r="D25" s="53">
        <v>46106</v>
      </c>
      <c r="E25" s="51" t="str">
        <v>PROGRAMADO</v>
      </c>
      <c r="F25" s="51">
        <v>0</v>
      </c>
    </row>
    <row r="26" spans="1:6">
      <c r="A26" s="46">
        <v>22</v>
      </c>
      <c r="B26" s="52"/>
      <c r="C26" s="52"/>
      <c r="D26" s="53"/>
      <c r="E26" s="51"/>
      <c r="F26" s="51"/>
    </row>
    <row r="27" spans="1:6">
      <c r="A27" s="46">
        <v>23</v>
      </c>
      <c r="B27" s="52"/>
      <c r="C27" s="52"/>
      <c r="D27" s="53"/>
      <c r="E27" s="51"/>
      <c r="F27" s="51"/>
    </row>
    <row r="28" spans="1:6">
      <c r="A28" s="46">
        <v>24</v>
      </c>
      <c r="B28" s="52"/>
      <c r="C28" s="52"/>
      <c r="D28" s="53"/>
      <c r="E28" s="51"/>
      <c r="F28" s="51"/>
    </row>
    <row r="29" spans="1:6">
      <c r="A29" s="46">
        <v>25</v>
      </c>
      <c r="B29" s="52"/>
      <c r="C29" s="52"/>
      <c r="D29" s="53"/>
      <c r="E29" s="51"/>
      <c r="F29" s="51"/>
    </row>
    <row r="30" spans="1:6">
      <c r="A30" s="46">
        <v>26</v>
      </c>
      <c r="B30" s="52"/>
      <c r="C30" s="52"/>
      <c r="D30" s="53"/>
      <c r="E30" s="51"/>
      <c r="F30" s="51"/>
    </row>
    <row r="31" spans="1:6">
      <c r="A31" s="46">
        <v>27</v>
      </c>
      <c r="B31" s="52"/>
      <c r="C31" s="52"/>
      <c r="D31" s="53"/>
      <c r="E31" s="51"/>
      <c r="F31" s="51"/>
    </row>
    <row r="32" spans="1:6">
      <c r="A32" s="46">
        <v>28</v>
      </c>
      <c r="B32" s="52"/>
      <c r="C32" s="52"/>
      <c r="D32" s="53"/>
      <c r="E32" s="51"/>
      <c r="F32" s="51"/>
    </row>
    <row r="33" spans="1:6">
      <c r="A33" s="46">
        <v>29</v>
      </c>
      <c r="B33" s="52"/>
      <c r="C33" s="52"/>
      <c r="D33" s="53"/>
      <c r="E33" s="51"/>
      <c r="F33" s="51"/>
    </row>
    <row r="34" spans="1:6">
      <c r="A34" s="46">
        <v>30</v>
      </c>
      <c r="B34" s="52"/>
      <c r="C34" s="52"/>
      <c r="D34" s="53"/>
      <c r="E34" s="51"/>
      <c r="F34" s="51"/>
    </row>
    <row r="35" spans="1:6">
      <c r="A35" s="46">
        <v>31</v>
      </c>
      <c r="B35" s="52"/>
      <c r="C35" s="52"/>
      <c r="D35" s="53"/>
      <c r="E35" s="51"/>
      <c r="F35" s="51"/>
    </row>
    <row r="36" spans="1:6">
      <c r="A36" s="46">
        <v>32</v>
      </c>
      <c r="B36" s="52"/>
      <c r="C36" s="52"/>
      <c r="D36" s="53"/>
      <c r="E36" s="51"/>
      <c r="F36" s="51"/>
    </row>
    <row r="37" spans="1:6">
      <c r="A37" s="46">
        <v>33</v>
      </c>
      <c r="B37" s="52"/>
      <c r="C37" s="52"/>
      <c r="D37" s="53"/>
      <c r="E37" s="51"/>
      <c r="F37" s="51"/>
    </row>
    <row r="38" spans="1:6">
      <c r="A38" s="46">
        <v>34</v>
      </c>
      <c r="B38" s="52"/>
      <c r="C38" s="52"/>
      <c r="D38" s="53"/>
      <c r="E38" s="51"/>
      <c r="F38" s="51"/>
    </row>
    <row r="39" spans="1:6">
      <c r="A39" s="46">
        <v>35</v>
      </c>
      <c r="B39" s="52"/>
      <c r="C39" s="52"/>
      <c r="D39" s="53"/>
      <c r="E39" s="51"/>
      <c r="F39" s="51"/>
    </row>
    <row r="40" spans="1:6">
      <c r="A40" s="46">
        <v>36</v>
      </c>
      <c r="B40" s="52"/>
      <c r="C40" s="52"/>
      <c r="D40" s="53"/>
      <c r="E40" s="51"/>
      <c r="F40" s="51"/>
    </row>
    <row r="41" spans="1:6">
      <c r="A41" s="46">
        <v>37</v>
      </c>
      <c r="B41" s="52"/>
      <c r="C41" s="52"/>
      <c r="D41" s="53"/>
      <c r="E41" s="51"/>
      <c r="F41" s="51"/>
    </row>
    <row r="42" spans="1:6">
      <c r="A42" s="46">
        <v>38</v>
      </c>
      <c r="B42" s="52"/>
      <c r="C42" s="52"/>
      <c r="D42" s="53"/>
      <c r="E42" s="51"/>
      <c r="F42" s="51"/>
    </row>
    <row r="43" spans="1:6">
      <c r="A43" s="46">
        <v>39</v>
      </c>
      <c r="B43" s="52"/>
      <c r="C43" s="52"/>
      <c r="D43" s="53"/>
      <c r="E43" s="51"/>
      <c r="F43" s="51"/>
    </row>
    <row r="44" spans="1:6">
      <c r="A44" s="46">
        <v>40</v>
      </c>
      <c r="B44" s="52"/>
      <c r="C44" s="52"/>
      <c r="D44" s="53"/>
      <c r="E44" s="51"/>
      <c r="F44" s="51"/>
    </row>
    <row r="45" spans="1:6">
      <c r="A45" s="46">
        <v>41</v>
      </c>
      <c r="B45" s="52"/>
      <c r="C45" s="52"/>
      <c r="D45" s="53"/>
      <c r="E45" s="51"/>
      <c r="F45" s="51"/>
    </row>
    <row r="46" spans="1:6">
      <c r="A46" s="46">
        <v>42</v>
      </c>
      <c r="B46" s="52"/>
      <c r="C46" s="52"/>
      <c r="D46" s="53"/>
      <c r="E46" s="51"/>
      <c r="F46" s="51"/>
    </row>
    <row r="47" spans="1:6">
      <c r="A47" s="46">
        <v>43</v>
      </c>
      <c r="B47" s="52"/>
      <c r="C47" s="52"/>
      <c r="D47" s="53"/>
      <c r="E47" s="51"/>
      <c r="F47" s="51"/>
    </row>
    <row r="48" spans="1:6">
      <c r="A48" s="46">
        <v>44</v>
      </c>
      <c r="B48" s="52"/>
      <c r="C48" s="52"/>
      <c r="D48" s="53"/>
      <c r="E48" s="51"/>
      <c r="F48" s="51"/>
    </row>
    <row r="49" spans="1:6">
      <c r="A49" s="46">
        <v>45</v>
      </c>
      <c r="B49" s="52"/>
      <c r="C49" s="52"/>
      <c r="D49" s="53"/>
      <c r="E49" s="51"/>
      <c r="F49" s="51"/>
    </row>
    <row r="50" spans="1:6">
      <c r="A50" s="46">
        <v>46</v>
      </c>
      <c r="B50" s="52"/>
      <c r="C50" s="52"/>
      <c r="D50" s="53"/>
      <c r="E50" s="51"/>
      <c r="F50" s="51"/>
    </row>
    <row r="51" spans="1:6">
      <c r="A51" s="46">
        <v>47</v>
      </c>
      <c r="B51" s="52"/>
      <c r="C51" s="52"/>
      <c r="D51" s="53"/>
      <c r="E51" s="51"/>
      <c r="F51" s="51"/>
    </row>
    <row r="52" spans="1:6">
      <c r="A52" s="46">
        <v>48</v>
      </c>
      <c r="B52" s="52"/>
      <c r="C52" s="52"/>
      <c r="D52" s="53"/>
      <c r="E52" s="51"/>
      <c r="F52" s="51"/>
    </row>
    <row r="53" spans="1:6">
      <c r="A53" s="46">
        <v>49</v>
      </c>
      <c r="B53" s="52"/>
      <c r="C53" s="52"/>
      <c r="D53" s="53"/>
      <c r="E53" s="51"/>
      <c r="F53" s="51"/>
    </row>
    <row r="54" spans="1:6">
      <c r="A54" s="46">
        <v>50</v>
      </c>
      <c r="B54" s="52"/>
      <c r="C54" s="52"/>
      <c r="D54" s="53"/>
      <c r="E54" s="51"/>
      <c r="F54" s="51"/>
    </row>
    <row r="55" spans="1:6">
      <c r="A55" s="46">
        <v>51</v>
      </c>
      <c r="B55" s="52"/>
      <c r="C55" s="52"/>
      <c r="D55" s="53"/>
      <c r="E55" s="51"/>
      <c r="F55" s="51"/>
    </row>
    <row r="56" spans="1:6">
      <c r="A56" s="46">
        <v>52</v>
      </c>
      <c r="B56" s="52"/>
      <c r="C56" s="52"/>
      <c r="D56" s="53"/>
      <c r="E56" s="51"/>
      <c r="F56" s="51"/>
    </row>
    <row r="57" spans="1:6">
      <c r="A57" s="46">
        <v>53</v>
      </c>
      <c r="B57" s="52"/>
      <c r="C57" s="52"/>
      <c r="D57" s="53"/>
      <c r="E57" s="51"/>
      <c r="F57" s="51"/>
    </row>
    <row r="58" spans="1:6">
      <c r="A58" s="46">
        <v>54</v>
      </c>
      <c r="B58" s="52"/>
      <c r="C58" s="52"/>
      <c r="D58" s="53"/>
      <c r="E58" s="51"/>
      <c r="F58" s="51"/>
    </row>
    <row r="59" spans="1:6">
      <c r="A59" s="46">
        <v>55</v>
      </c>
      <c r="B59" s="52"/>
      <c r="C59" s="52"/>
      <c r="D59" s="53"/>
      <c r="E59" s="51"/>
      <c r="F59" s="51"/>
    </row>
    <row r="60" spans="1:6">
      <c r="A60" s="46">
        <v>56</v>
      </c>
      <c r="B60" s="52"/>
      <c r="C60" s="52"/>
      <c r="D60" s="53"/>
      <c r="E60" s="51"/>
      <c r="F60" s="51"/>
    </row>
    <row r="61" spans="1:6">
      <c r="A61" s="46">
        <v>57</v>
      </c>
      <c r="B61" s="52"/>
      <c r="C61" s="52"/>
      <c r="D61" s="53"/>
      <c r="E61" s="51"/>
      <c r="F61" s="51"/>
    </row>
    <row r="62" spans="1:6">
      <c r="A62" s="46"/>
      <c r="B62" s="52"/>
      <c r="C62" s="52"/>
      <c r="D62" s="53"/>
      <c r="E62" s="51"/>
      <c r="F62" s="51"/>
    </row>
    <row r="63" spans="1:6">
      <c r="A63" s="46"/>
      <c r="B63" s="52"/>
      <c r="C63" s="52"/>
      <c r="D63" s="53"/>
      <c r="E63" s="51"/>
      <c r="F63" s="51"/>
    </row>
    <row r="64" spans="1:6">
      <c r="A64" s="46"/>
      <c r="B64" s="52"/>
      <c r="C64" s="52"/>
      <c r="D64" s="53"/>
      <c r="E64" s="51"/>
      <c r="F64" s="51"/>
    </row>
    <row r="65" spans="1:6">
      <c r="A65" s="46"/>
      <c r="B65" s="52"/>
      <c r="C65" s="52"/>
      <c r="D65" s="53"/>
      <c r="E65" s="51"/>
      <c r="F65" s="51"/>
    </row>
    <row r="66" spans="1:6">
      <c r="A66" s="46"/>
      <c r="B66" s="52"/>
      <c r="C66" s="52"/>
      <c r="D66" s="53"/>
      <c r="E66" s="51"/>
      <c r="F66" s="51"/>
    </row>
    <row r="67" spans="1:6">
      <c r="A67" s="46"/>
      <c r="B67" s="52"/>
      <c r="C67" s="52"/>
      <c r="D67" s="53"/>
      <c r="E67" s="51"/>
      <c r="F67" s="51"/>
    </row>
    <row r="68" spans="1:6">
      <c r="A68" s="46"/>
      <c r="B68" s="52"/>
      <c r="C68" s="52"/>
      <c r="D68" s="53"/>
      <c r="E68" s="51"/>
      <c r="F68" s="51"/>
    </row>
    <row r="69" spans="1:6">
      <c r="A69" s="46"/>
      <c r="B69" s="52"/>
      <c r="C69" s="52"/>
      <c r="D69" s="53"/>
      <c r="E69" s="51"/>
      <c r="F69" s="51"/>
    </row>
    <row r="70" spans="1:6">
      <c r="A70" s="46"/>
      <c r="B70" s="52"/>
      <c r="C70" s="52"/>
      <c r="D70" s="53"/>
      <c r="E70" s="51"/>
      <c r="F70" s="51"/>
    </row>
    <row r="71" spans="1:6">
      <c r="A71" s="46"/>
      <c r="B71" s="52"/>
      <c r="C71" s="52"/>
      <c r="D71" s="53"/>
      <c r="E71" s="51"/>
      <c r="F71" s="51"/>
    </row>
    <row r="72" spans="1:6">
      <c r="A72" s="46"/>
      <c r="B72" s="52"/>
      <c r="C72" s="52"/>
      <c r="D72" s="53"/>
      <c r="E72" s="51"/>
      <c r="F72" s="51"/>
    </row>
    <row r="73" spans="1:6">
      <c r="A73" s="46"/>
      <c r="B73" s="52"/>
      <c r="C73" s="52"/>
      <c r="D73" s="53"/>
      <c r="E73" s="51"/>
      <c r="F73" s="51"/>
    </row>
    <row r="74" spans="1:6">
      <c r="A74" s="46"/>
      <c r="B74" s="52"/>
      <c r="C74" s="52"/>
      <c r="D74" s="53"/>
      <c r="E74" s="51"/>
      <c r="F74" s="51"/>
    </row>
    <row r="75" spans="1:6">
      <c r="A75" s="46"/>
      <c r="B75" s="52"/>
      <c r="C75" s="52"/>
      <c r="D75" s="53"/>
      <c r="E75" s="51"/>
      <c r="F75" s="51"/>
    </row>
    <row r="76" spans="1:6">
      <c r="A76" s="46"/>
      <c r="B76" s="52"/>
      <c r="C76" s="52"/>
      <c r="D76" s="53"/>
      <c r="E76" s="51"/>
      <c r="F76" s="51"/>
    </row>
    <row r="77" spans="1:6">
      <c r="A77" s="46"/>
      <c r="B77" s="52"/>
      <c r="C77" s="52"/>
      <c r="D77" s="53"/>
      <c r="E77" s="51"/>
      <c r="F77" s="51"/>
    </row>
    <row r="78" spans="1:6">
      <c r="A78" s="46"/>
      <c r="B78" s="52"/>
      <c r="C78" s="52"/>
      <c r="D78" s="53"/>
      <c r="E78" s="51"/>
      <c r="F78" s="51"/>
    </row>
    <row r="79" spans="1:6">
      <c r="A79" s="46"/>
      <c r="B79" s="52"/>
      <c r="C79" s="52"/>
      <c r="D79" s="53"/>
      <c r="E79" s="51"/>
      <c r="F79" s="51"/>
    </row>
    <row r="80" spans="1:6">
      <c r="A80" s="46"/>
      <c r="B80" s="52"/>
      <c r="C80" s="52"/>
      <c r="D80" s="53"/>
      <c r="E80" s="51"/>
      <c r="F80" s="51"/>
    </row>
    <row r="81" spans="1:6">
      <c r="A81" s="46"/>
      <c r="B81" s="52"/>
      <c r="C81" s="52"/>
      <c r="D81" s="53"/>
      <c r="E81" s="51"/>
      <c r="F81" s="51"/>
    </row>
    <row r="82" spans="1:6">
      <c r="A82" s="46"/>
      <c r="B82" s="52"/>
      <c r="C82" s="52"/>
      <c r="D82" s="53"/>
      <c r="E82" s="51"/>
      <c r="F82" s="51"/>
    </row>
    <row r="83" spans="1:6">
      <c r="A83" s="46"/>
      <c r="B83" s="52"/>
      <c r="C83" s="52"/>
      <c r="D83" s="53"/>
      <c r="E83" s="51"/>
      <c r="F83" s="51"/>
    </row>
    <row r="84" spans="1:6">
      <c r="A84" s="46"/>
      <c r="B84" s="52"/>
      <c r="C84" s="52"/>
      <c r="D84" s="53"/>
      <c r="E84" s="51"/>
      <c r="F84" s="51"/>
    </row>
    <row r="85" spans="1:6">
      <c r="A85" s="46"/>
      <c r="B85" s="52"/>
      <c r="C85" s="52"/>
      <c r="D85" s="53"/>
      <c r="E85" s="51"/>
      <c r="F85" s="51"/>
    </row>
    <row r="86" spans="1:6">
      <c r="A86" s="46"/>
      <c r="B86" s="52"/>
      <c r="C86" s="52"/>
      <c r="D86" s="53"/>
      <c r="E86" s="51"/>
      <c r="F86" s="51"/>
    </row>
    <row r="87" spans="1:6">
      <c r="A87" s="46"/>
      <c r="B87" s="52"/>
      <c r="C87" s="52"/>
      <c r="D87" s="53"/>
      <c r="E87" s="51"/>
      <c r="F87" s="51"/>
    </row>
    <row r="88" spans="1:6">
      <c r="A88" s="46"/>
      <c r="B88" s="52"/>
      <c r="C88" s="52"/>
      <c r="D88" s="53"/>
      <c r="E88" s="51"/>
      <c r="F88" s="51"/>
    </row>
    <row r="89" spans="1:6">
      <c r="A89" s="46"/>
      <c r="B89" s="52"/>
      <c r="C89" s="52"/>
      <c r="D89" s="53"/>
      <c r="E89" s="51"/>
      <c r="F89" s="51"/>
    </row>
    <row r="90" spans="1:6">
      <c r="A90" s="46"/>
      <c r="B90" s="52"/>
      <c r="C90" s="52"/>
      <c r="D90" s="53"/>
      <c r="E90" s="51"/>
      <c r="F90" s="51"/>
    </row>
    <row r="91" spans="1:6">
      <c r="A91" s="46"/>
      <c r="B91" s="52"/>
      <c r="C91" s="52"/>
      <c r="D91" s="53"/>
      <c r="E91" s="51"/>
      <c r="F91" s="51"/>
    </row>
    <row r="92" spans="1:6">
      <c r="A92" s="46"/>
      <c r="B92" s="52"/>
      <c r="C92" s="52"/>
      <c r="D92" s="53"/>
      <c r="E92" s="51"/>
      <c r="F92" s="51"/>
    </row>
    <row r="93" spans="1:6">
      <c r="A93" s="46"/>
      <c r="B93" s="52"/>
      <c r="C93" s="52"/>
      <c r="D93" s="53"/>
      <c r="E93" s="51"/>
      <c r="F93" s="51"/>
    </row>
    <row r="94" spans="1:6">
      <c r="A94" s="46"/>
      <c r="B94" s="52"/>
      <c r="C94" s="52"/>
      <c r="D94" s="53"/>
      <c r="E94" s="51"/>
      <c r="F94" s="51"/>
    </row>
    <row r="95" spans="1:6">
      <c r="A95" s="46"/>
      <c r="B95" s="52"/>
      <c r="C95" s="52"/>
      <c r="D95" s="53"/>
      <c r="E95" s="51"/>
      <c r="F95" s="51"/>
    </row>
    <row r="96" spans="1:6">
      <c r="A96" s="46"/>
      <c r="B96" s="52"/>
      <c r="C96" s="52"/>
      <c r="D96" s="53"/>
      <c r="E96" s="51"/>
      <c r="F96" s="51"/>
    </row>
    <row r="97" spans="1:6">
      <c r="A97" s="46"/>
      <c r="B97" s="52"/>
      <c r="C97" s="52"/>
      <c r="D97" s="53"/>
      <c r="E97" s="51"/>
      <c r="F97" s="51"/>
    </row>
    <row r="98" spans="1:6">
      <c r="A98" s="46"/>
      <c r="B98" s="52"/>
      <c r="C98" s="52"/>
      <c r="D98" s="53"/>
      <c r="E98" s="51"/>
      <c r="F98" s="51"/>
    </row>
    <row r="99" spans="1:6">
      <c r="A99" s="46"/>
      <c r="B99" s="52"/>
      <c r="C99" s="52"/>
      <c r="D99" s="53"/>
      <c r="E99" s="51"/>
      <c r="F99" s="51"/>
    </row>
    <row r="100" spans="1:6">
      <c r="A100" s="46"/>
      <c r="B100" s="52"/>
      <c r="C100" s="52"/>
      <c r="D100" s="53"/>
      <c r="E100" s="51"/>
      <c r="F100" s="51"/>
    </row>
    <row r="101" spans="1:6">
      <c r="A101" s="46"/>
      <c r="B101" s="52"/>
      <c r="C101" s="52"/>
      <c r="D101" s="53"/>
      <c r="E101" s="51"/>
      <c r="F101" s="51"/>
    </row>
    <row r="102" spans="1:6">
      <c r="A102" s="46"/>
      <c r="B102" s="52"/>
      <c r="C102" s="52"/>
      <c r="D102" s="53"/>
      <c r="E102" s="51"/>
      <c r="F102" s="51"/>
    </row>
    <row r="103" spans="1:6">
      <c r="A103" s="46"/>
      <c r="B103" s="52"/>
      <c r="C103" s="52"/>
      <c r="D103" s="53"/>
      <c r="E103" s="51"/>
      <c r="F103" s="51"/>
    </row>
    <row r="104" spans="1:6">
      <c r="A104" s="46"/>
      <c r="B104" s="52"/>
      <c r="C104" s="52"/>
      <c r="D104" s="53"/>
      <c r="E104" s="51"/>
      <c r="F104" s="51"/>
    </row>
    <row r="105" spans="1:6">
      <c r="A105" s="46"/>
      <c r="B105" s="52"/>
      <c r="C105" s="52"/>
      <c r="D105" s="53"/>
      <c r="E105" s="51"/>
      <c r="F105" s="51"/>
    </row>
    <row r="106" spans="1:6">
      <c r="A106" s="46"/>
      <c r="B106" s="52"/>
      <c r="C106" s="52"/>
      <c r="D106" s="53"/>
      <c r="E106" s="51"/>
      <c r="F106" s="51"/>
    </row>
    <row r="107" spans="1:6">
      <c r="A107" s="46"/>
      <c r="B107" s="52"/>
      <c r="C107" s="52"/>
      <c r="D107" s="53"/>
      <c r="E107" s="51"/>
      <c r="F107" s="51"/>
    </row>
    <row r="108" spans="1:6">
      <c r="A108" s="46"/>
      <c r="B108" s="52"/>
      <c r="C108" s="52"/>
      <c r="D108" s="53"/>
      <c r="E108" s="51"/>
      <c r="F108" s="51"/>
    </row>
    <row r="109" spans="1:6">
      <c r="A109" s="46"/>
      <c r="B109" s="52"/>
      <c r="C109" s="52"/>
      <c r="D109" s="53"/>
      <c r="E109" s="51"/>
      <c r="F109" s="51"/>
    </row>
    <row r="110" spans="1:6">
      <c r="A110" s="46"/>
      <c r="B110" s="52"/>
      <c r="C110" s="52"/>
      <c r="D110" s="53"/>
      <c r="E110" s="51"/>
      <c r="F110" s="51"/>
    </row>
    <row r="111" spans="1:6">
      <c r="A111" s="46"/>
      <c r="B111" s="52"/>
      <c r="C111" s="52"/>
      <c r="D111" s="53"/>
      <c r="E111" s="51"/>
      <c r="F111" s="51"/>
    </row>
    <row r="112" spans="1:6">
      <c r="A112" s="46"/>
      <c r="B112" s="52"/>
      <c r="C112" s="52"/>
      <c r="D112" s="53"/>
      <c r="E112" s="51"/>
      <c r="F112" s="51"/>
    </row>
    <row r="113" spans="1:6">
      <c r="A113" s="46"/>
      <c r="B113" s="52"/>
      <c r="C113" s="52"/>
      <c r="D113" s="53"/>
      <c r="E113" s="51"/>
      <c r="F113" s="51"/>
    </row>
    <row r="114" spans="1:6">
      <c r="A114" s="46"/>
      <c r="B114" s="52"/>
      <c r="C114" s="52"/>
      <c r="D114" s="53"/>
      <c r="E114" s="51"/>
      <c r="F114" s="51"/>
    </row>
    <row r="115" spans="1:6">
      <c r="A115" s="46">
        <v>34</v>
      </c>
      <c r="B115" s="52"/>
      <c r="C115" s="52"/>
      <c r="D115" s="53"/>
      <c r="E115" s="51"/>
      <c r="F115" s="51"/>
    </row>
    <row r="116" spans="1:6" ht="15.75" customHeight="1">
      <c r="B116" s="87" t="s">
        <v>132</v>
      </c>
      <c r="C116" s="87"/>
      <c r="D116" s="87"/>
      <c r="E116" s="87"/>
      <c r="F116" s="87"/>
    </row>
    <row r="117" spans="1:6" ht="9" customHeight="1"/>
    <row r="118" spans="1:6" ht="9" customHeight="1"/>
    <row r="119" spans="1:6" ht="9" customHeight="1">
      <c r="B119" s="39"/>
    </row>
    <row r="120" spans="1:6" ht="9" customHeight="1"/>
    <row r="121" spans="1:6" ht="9" customHeight="1"/>
    <row r="122" spans="1:6" ht="9" customHeight="1"/>
    <row r="123" spans="1:6" ht="9" customHeight="1"/>
    <row r="124" spans="1:6" ht="9" customHeight="1"/>
    <row r="125" spans="1:6" ht="9" customHeight="1"/>
    <row r="126" spans="1:6" ht="9" customHeight="1"/>
    <row r="127" spans="1:6" ht="9" customHeight="1"/>
    <row r="128" spans="1:6" ht="9" customHeight="1"/>
    <row r="129" ht="9" customHeight="1"/>
    <row r="130" ht="9" customHeight="1"/>
    <row r="131" ht="9" customHeight="1"/>
    <row r="132" ht="9" customHeight="1"/>
    <row r="133" ht="9" customHeight="1"/>
    <row r="134" ht="9" customHeight="1"/>
    <row r="135" ht="9" customHeight="1"/>
    <row r="136" ht="9" customHeight="1"/>
    <row r="137" ht="9" customHeight="1"/>
    <row r="138" ht="9" customHeight="1"/>
    <row r="139" ht="9" customHeight="1"/>
    <row r="140" ht="9" customHeight="1"/>
    <row r="141" ht="9" customHeight="1"/>
    <row r="142" ht="9" customHeight="1"/>
    <row r="143" ht="9" customHeight="1"/>
    <row r="144" ht="9" customHeight="1"/>
    <row r="145" ht="9" customHeight="1"/>
    <row r="146" ht="9" customHeight="1"/>
    <row r="147" ht="9" customHeight="1"/>
    <row r="148" ht="9" customHeight="1"/>
    <row r="149" ht="9" customHeight="1"/>
    <row r="150" ht="9" customHeight="1"/>
    <row r="151" ht="9" customHeight="1"/>
    <row r="152" ht="9" customHeight="1"/>
    <row r="153" ht="9" customHeight="1"/>
    <row r="154" ht="9" customHeight="1"/>
    <row r="155" ht="9" customHeight="1"/>
    <row r="156" ht="9" customHeight="1"/>
    <row r="157" ht="9" customHeight="1"/>
    <row r="158" ht="9" customHeight="1"/>
    <row r="159" ht="9" customHeight="1"/>
    <row r="160" ht="9" customHeight="1"/>
    <row r="161" ht="9" customHeight="1"/>
    <row r="162" ht="9" customHeight="1"/>
    <row r="163" ht="9" customHeight="1"/>
    <row r="164" ht="9" customHeight="1"/>
    <row r="165" ht="9" customHeight="1"/>
    <row r="166" ht="9" customHeight="1"/>
    <row r="167" ht="9" customHeight="1"/>
    <row r="168" ht="9" customHeight="1"/>
    <row r="169" ht="9" customHeight="1"/>
    <row r="170" ht="9" customHeight="1"/>
    <row r="171" ht="9" customHeight="1"/>
    <row r="172" ht="9" customHeight="1"/>
    <row r="173" ht="9" customHeight="1"/>
    <row r="174" ht="9" customHeight="1"/>
    <row r="175" ht="9" customHeight="1"/>
    <row r="176" ht="9" customHeight="1"/>
    <row r="177" ht="9" customHeight="1"/>
    <row r="178" ht="9" customHeight="1"/>
    <row r="179" ht="9" customHeight="1"/>
    <row r="180" ht="9" customHeight="1"/>
    <row r="181" ht="9" customHeight="1"/>
    <row r="182" ht="9" customHeight="1"/>
    <row r="183" ht="9" customHeight="1"/>
    <row r="184" ht="9" customHeight="1"/>
    <row r="185" ht="9" customHeight="1"/>
    <row r="186" ht="9" customHeight="1"/>
    <row r="187" ht="9" customHeight="1"/>
    <row r="188" ht="9" customHeight="1"/>
    <row r="189" ht="9" customHeight="1"/>
    <row r="190" ht="9" customHeight="1"/>
    <row r="191" ht="9" customHeight="1"/>
    <row r="192" ht="9" customHeight="1"/>
    <row r="193" ht="9" customHeight="1"/>
    <row r="194" ht="9" customHeight="1"/>
    <row r="195" ht="9" customHeight="1"/>
    <row r="196" ht="9" customHeight="1"/>
  </sheetData>
  <sheetProtection algorithmName="SHA-512" hashValue="etUcSh3nw8lfdyDE+FuGGdBdErrho3xk0AOZhI1aWgyfsAvq5N1FxoaX8hkGGZbB9qj6xBxbAT2LBa/ZjJYwyw==" saltValue="KvnrnE8zZfyT7exbN6Bz1A==" spinCount="100000" sheet="1" objects="1" scenarios="1" selectLockedCells="1"/>
  <mergeCells count="6">
    <mergeCell ref="B116:F116"/>
    <mergeCell ref="A1:F1"/>
    <mergeCell ref="E2:F2"/>
    <mergeCell ref="E3:F3"/>
    <mergeCell ref="A2:C2"/>
    <mergeCell ref="A3:C3"/>
  </mergeCells>
  <printOptions horizontalCentered="1"/>
  <pageMargins left="0.35433070866141736" right="0.15748031496062992" top="0.98425196850393704" bottom="0.98425196850393704" header="0.51181102362204722" footer="0.51181102362204722"/>
  <pageSetup paperSize="9" scale="75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DA97A3-5F53-40B3-8E22-13C2EA3A8261}">
          <x14:formula1>
            <xm:f>Listas!$E$2:$E$7</xm:f>
          </x14:formula1>
          <xm:sqref>A3:C3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54"/>
  <sheetViews>
    <sheetView showGridLines="0" tabSelected="1" zoomScaleNormal="100" workbookViewId="0">
      <pane ySplit="5" topLeftCell="A6" activePane="bottomLeft" state="frozen"/>
      <selection pane="bottomLeft" activeCell="A3" sqref="A3:B3"/>
    </sheetView>
  </sheetViews>
  <sheetFormatPr baseColWidth="10" defaultColWidth="8.6640625" defaultRowHeight="14.4"/>
  <cols>
    <col min="1" max="1" width="19.33203125" style="18" bestFit="1" customWidth="1"/>
    <col min="2" max="2" width="39.44140625" customWidth="1"/>
    <col min="3" max="3" width="15" customWidth="1"/>
    <col min="4" max="4" width="12" customWidth="1"/>
    <col min="5" max="5" width="42.33203125" customWidth="1"/>
    <col min="7" max="7" width="11.21875" bestFit="1" customWidth="1"/>
  </cols>
  <sheetData>
    <row r="1" spans="1:6" ht="30" customHeight="1">
      <c r="A1" s="93" t="s">
        <v>131</v>
      </c>
      <c r="B1" s="94"/>
      <c r="C1" s="94"/>
      <c r="D1" s="94"/>
      <c r="E1" s="94"/>
    </row>
    <row r="2" spans="1:6" ht="14.4" customHeight="1">
      <c r="A2" s="99" t="s">
        <v>0</v>
      </c>
      <c r="B2" s="99"/>
      <c r="C2" s="100" t="s">
        <v>137</v>
      </c>
      <c r="D2" s="100"/>
      <c r="E2" s="102">
        <v>16</v>
      </c>
      <c r="F2" s="55"/>
    </row>
    <row r="3" spans="1:6" ht="39" customHeight="1">
      <c r="A3" s="98" t="s">
        <v>134</v>
      </c>
      <c r="B3" s="98"/>
      <c r="C3" s="101"/>
      <c r="D3" s="101"/>
      <c r="E3" s="103"/>
      <c r="F3" s="56"/>
    </row>
    <row r="4" spans="1:6" ht="21.75" customHeight="1">
      <c r="A4" s="57" t="str">
        <f>TEXT(DATE(2026,1,5)+(E2-1)*7,"MMMM YYYY")</f>
        <v>Abril 2026</v>
      </c>
      <c r="B4" s="95" t="str">
        <f>TEXT(DATE(2026,1,-2)+(E2-1)*7,"DD/MM") &amp; " al " &amp; TEXT(DATE(2026,1,-2)+(E2-1)*7+6,"DD/MM/YYYY")</f>
        <v>13/04 al 19/04/2026</v>
      </c>
      <c r="C4" s="95"/>
      <c r="D4" s="96" t="str">
        <f>COUNTIF('Planificación Anual'!$A$4:$A$325,E2)&amp;" actividades programadas esta semana"</f>
        <v>5 actividades programadas esta semana</v>
      </c>
      <c r="E4" s="96"/>
    </row>
    <row r="5" spans="1:6" ht="18" customHeight="1">
      <c r="A5" s="1" t="s">
        <v>0</v>
      </c>
      <c r="B5" s="1" t="s">
        <v>35</v>
      </c>
      <c r="C5" s="58" t="s">
        <v>43</v>
      </c>
      <c r="D5" s="58" t="s">
        <v>38</v>
      </c>
      <c r="E5" s="1" t="s">
        <v>42</v>
      </c>
    </row>
    <row r="6" spans="1:6" ht="19.5" customHeight="1">
      <c r="A6" s="18" t="str" cm="1">
        <f t="array" ref="A6:E10">_xlfn.LET(_xlpm.datos, 'Planificación Anual'!A4:H325, _xlpm.filtro, _xlfn._xlws.FILTER(_xlpm.datos, IFERROR(--'Planificación Anual'!A4:A325, 0) = --'Vista Semanal'!E2, "Sin actividades"), _xlfn.CHOOSECOLS(_xlpm.filtro, 3, 4, 5, 7, 8))</f>
        <v>APLOMO</v>
      </c>
      <c r="B6" s="59" t="str">
        <v>Inspección de seguridad</v>
      </c>
      <c r="C6" s="60">
        <v>46128</v>
      </c>
      <c r="D6" s="59" t="str">
        <v>PROGRAMADO</v>
      </c>
      <c r="E6" s="59">
        <v>0</v>
      </c>
    </row>
    <row r="7" spans="1:6" ht="19.5" customHeight="1">
      <c r="A7" s="59" t="str">
        <v>ESON</v>
      </c>
      <c r="B7" s="59" t="str">
        <v>Inspección de Seguridad</v>
      </c>
      <c r="C7" s="60">
        <v>46127</v>
      </c>
      <c r="D7" s="59" t="str">
        <v>PROGRAMADO</v>
      </c>
      <c r="E7" s="59">
        <v>0</v>
      </c>
    </row>
    <row r="8" spans="1:6" ht="19.5" customHeight="1">
      <c r="A8" s="59" t="str">
        <v>ESON</v>
      </c>
      <c r="B8" s="59" t="str">
        <v>Bipartita</v>
      </c>
      <c r="C8" s="60">
        <v>46127</v>
      </c>
      <c r="D8" s="59" t="str">
        <v>PROGRAMADO</v>
      </c>
      <c r="E8" s="59">
        <v>0</v>
      </c>
    </row>
    <row r="9" spans="1:6" ht="19.5" customHeight="1">
      <c r="A9" s="59" t="str">
        <v>OCEANUS</v>
      </c>
      <c r="B9" s="59" t="str">
        <v>Inspección de seguridad</v>
      </c>
      <c r="C9" s="60">
        <v>46125</v>
      </c>
      <c r="D9" s="59" t="str">
        <v>PROGRAMADO</v>
      </c>
      <c r="E9" s="59">
        <v>0</v>
      </c>
    </row>
    <row r="10" spans="1:6" ht="19.5" customHeight="1">
      <c r="A10" s="59" t="str">
        <v>RABUFFER</v>
      </c>
      <c r="B10" s="59" t="str">
        <v>Capacitación manipulación manual de cargas</v>
      </c>
      <c r="C10" s="60">
        <v>46126</v>
      </c>
      <c r="D10" s="59" t="str">
        <v>PROGRAMADO</v>
      </c>
      <c r="E10" s="59">
        <v>0</v>
      </c>
    </row>
    <row r="11" spans="1:6" ht="19.5" customHeight="1">
      <c r="A11" s="59"/>
      <c r="B11" s="59"/>
      <c r="C11" s="60"/>
      <c r="D11" s="59"/>
      <c r="E11" s="59"/>
    </row>
    <row r="12" spans="1:6" ht="19.5" customHeight="1">
      <c r="A12" s="59"/>
      <c r="B12" s="59"/>
      <c r="C12" s="60"/>
      <c r="D12" s="59"/>
      <c r="E12" s="59"/>
    </row>
    <row r="13" spans="1:6" ht="19.5" customHeight="1">
      <c r="A13" s="59"/>
      <c r="B13" s="59"/>
      <c r="C13" s="60"/>
      <c r="D13" s="59"/>
      <c r="E13" s="59"/>
    </row>
    <row r="14" spans="1:6" ht="19.5" customHeight="1">
      <c r="A14" s="59"/>
      <c r="B14" s="59"/>
      <c r="C14" s="60"/>
      <c r="D14" s="59"/>
      <c r="E14" s="59"/>
    </row>
    <row r="15" spans="1:6" ht="19.5" customHeight="1">
      <c r="A15" s="59"/>
      <c r="B15" s="59"/>
      <c r="C15" s="60"/>
      <c r="D15" s="59"/>
      <c r="E15" s="59"/>
    </row>
    <row r="16" spans="1:6" ht="19.5" customHeight="1">
      <c r="A16" s="59"/>
      <c r="B16" s="59"/>
      <c r="C16" s="60"/>
      <c r="D16" s="59"/>
      <c r="E16" s="59"/>
    </row>
    <row r="17" spans="1:5" ht="19.5" customHeight="1">
      <c r="A17" s="59"/>
      <c r="B17" s="59"/>
      <c r="C17" s="60"/>
      <c r="D17" s="59"/>
      <c r="E17" s="59"/>
    </row>
    <row r="18" spans="1:5" ht="19.5" customHeight="1">
      <c r="A18" s="59"/>
      <c r="B18" s="59"/>
      <c r="C18" s="60"/>
      <c r="D18" s="59"/>
      <c r="E18" s="59"/>
    </row>
    <row r="19" spans="1:5" ht="19.5" customHeight="1">
      <c r="A19" s="59"/>
      <c r="B19" s="59"/>
      <c r="C19" s="60"/>
      <c r="D19" s="59"/>
      <c r="E19" s="59"/>
    </row>
    <row r="20" spans="1:5" ht="19.5" customHeight="1">
      <c r="A20" s="59"/>
      <c r="B20" s="59"/>
      <c r="C20" s="60"/>
      <c r="D20" s="59"/>
      <c r="E20" s="59"/>
    </row>
    <row r="21" spans="1:5" ht="19.5" customHeight="1">
      <c r="A21" s="59"/>
      <c r="B21" s="59"/>
      <c r="C21" s="60"/>
      <c r="D21" s="59"/>
      <c r="E21" s="59"/>
    </row>
    <row r="22" spans="1:5" ht="19.5" customHeight="1">
      <c r="A22" s="59"/>
      <c r="B22" s="59"/>
      <c r="C22" s="60"/>
      <c r="D22" s="59"/>
      <c r="E22" s="59"/>
    </row>
    <row r="23" spans="1:5" ht="19.5" customHeight="1">
      <c r="A23" s="59"/>
      <c r="B23" s="59"/>
      <c r="C23" s="60"/>
      <c r="D23" s="59"/>
      <c r="E23" s="59"/>
    </row>
    <row r="24" spans="1:5" ht="19.5" customHeight="1">
      <c r="A24" s="59"/>
      <c r="B24" s="59"/>
      <c r="C24" s="60"/>
      <c r="D24" s="59"/>
      <c r="E24" s="59"/>
    </row>
    <row r="25" spans="1:5" ht="19.5" customHeight="1">
      <c r="A25" s="59"/>
      <c r="B25" s="59"/>
      <c r="C25" s="60"/>
      <c r="D25" s="59"/>
      <c r="E25" s="59"/>
    </row>
    <row r="26" spans="1:5" ht="19.5" customHeight="1">
      <c r="A26" s="59"/>
      <c r="B26" s="59"/>
      <c r="C26" s="60"/>
      <c r="D26" s="59"/>
      <c r="E26" s="59"/>
    </row>
    <row r="27" spans="1:5" ht="19.5" customHeight="1">
      <c r="A27" s="59"/>
      <c r="B27" s="59"/>
      <c r="C27" s="60"/>
      <c r="D27" s="59"/>
      <c r="E27" s="59"/>
    </row>
    <row r="28" spans="1:5" ht="19.5" customHeight="1">
      <c r="A28" s="59"/>
      <c r="B28" s="59"/>
      <c r="C28" s="60"/>
      <c r="D28" s="59"/>
      <c r="E28" s="59"/>
    </row>
    <row r="29" spans="1:5" ht="19.5" customHeight="1">
      <c r="A29" s="59"/>
      <c r="B29" s="59"/>
      <c r="C29" s="60"/>
      <c r="D29" s="59"/>
      <c r="E29" s="59"/>
    </row>
    <row r="30" spans="1:5" ht="19.5" customHeight="1">
      <c r="A30" s="59"/>
      <c r="B30" s="59"/>
      <c r="C30" s="60"/>
      <c r="D30" s="59"/>
      <c r="E30" s="59"/>
    </row>
    <row r="31" spans="1:5" ht="19.5" customHeight="1">
      <c r="A31" s="59"/>
      <c r="B31" s="59"/>
      <c r="C31" s="60"/>
      <c r="D31" s="59"/>
      <c r="E31" s="59"/>
    </row>
    <row r="32" spans="1:5" ht="19.5" customHeight="1">
      <c r="A32" s="59"/>
      <c r="B32" s="59"/>
      <c r="C32" s="60"/>
      <c r="D32" s="59"/>
      <c r="E32" s="59"/>
    </row>
    <row r="33" spans="1:5" ht="19.5" customHeight="1">
      <c r="A33" s="59"/>
      <c r="B33" s="59"/>
      <c r="C33" s="60"/>
      <c r="D33" s="59"/>
      <c r="E33" s="59"/>
    </row>
    <row r="34" spans="1:5" ht="19.5" customHeight="1">
      <c r="A34" s="59"/>
      <c r="B34" s="59"/>
      <c r="C34" s="60"/>
      <c r="D34" s="59"/>
      <c r="E34" s="59"/>
    </row>
    <row r="35" spans="1:5" ht="19.5" customHeight="1">
      <c r="A35" s="59"/>
      <c r="B35" s="59"/>
      <c r="C35" s="60"/>
      <c r="D35" s="59"/>
      <c r="E35" s="59"/>
    </row>
    <row r="36" spans="1:5" ht="19.5" customHeight="1">
      <c r="A36" s="59"/>
      <c r="B36" s="59"/>
      <c r="C36" s="60"/>
      <c r="D36" s="59"/>
      <c r="E36" s="59"/>
    </row>
    <row r="37" spans="1:5" ht="19.5" customHeight="1">
      <c r="A37" s="59"/>
      <c r="B37" s="59"/>
      <c r="C37" s="60"/>
      <c r="D37" s="59"/>
      <c r="E37" s="59"/>
    </row>
    <row r="38" spans="1:5" ht="19.5" customHeight="1">
      <c r="A38" s="59"/>
      <c r="B38" s="59"/>
      <c r="C38" s="60"/>
      <c r="D38" s="59"/>
      <c r="E38" s="59"/>
    </row>
    <row r="39" spans="1:5" ht="19.5" customHeight="1">
      <c r="A39" s="59"/>
      <c r="B39" s="59"/>
      <c r="C39" s="60"/>
      <c r="D39" s="59"/>
      <c r="E39" s="59"/>
    </row>
    <row r="40" spans="1:5" ht="19.5" customHeight="1">
      <c r="A40" s="59"/>
      <c r="B40" s="59"/>
      <c r="C40" s="60"/>
      <c r="D40" s="59"/>
      <c r="E40" s="59"/>
    </row>
    <row r="41" spans="1:5" ht="19.5" customHeight="1">
      <c r="A41" s="59"/>
      <c r="B41" s="59"/>
      <c r="C41" s="60"/>
      <c r="D41" s="59"/>
      <c r="E41" s="59"/>
    </row>
    <row r="42" spans="1:5" ht="19.5" customHeight="1">
      <c r="A42" s="59"/>
      <c r="B42" s="59"/>
      <c r="C42" s="60"/>
      <c r="D42" s="59"/>
      <c r="E42" s="59"/>
    </row>
    <row r="43" spans="1:5" ht="19.5" customHeight="1">
      <c r="A43" s="59"/>
      <c r="B43" s="59"/>
      <c r="C43" s="60"/>
      <c r="D43" s="59"/>
      <c r="E43" s="59"/>
    </row>
    <row r="44" spans="1:5" ht="19.5" customHeight="1">
      <c r="A44" s="59"/>
      <c r="B44" s="59"/>
      <c r="C44" s="60"/>
      <c r="D44" s="59"/>
      <c r="E44" s="59"/>
    </row>
    <row r="45" spans="1:5" ht="19.5" customHeight="1">
      <c r="A45" s="59"/>
      <c r="B45" s="59"/>
      <c r="C45" s="60"/>
      <c r="D45" s="59"/>
      <c r="E45" s="59"/>
    </row>
    <row r="46" spans="1:5" ht="19.5" customHeight="1">
      <c r="A46" s="59"/>
      <c r="B46" s="59"/>
      <c r="C46" s="60"/>
      <c r="D46" s="59"/>
      <c r="E46" s="59"/>
    </row>
    <row r="47" spans="1:5" ht="19.5" customHeight="1">
      <c r="A47" s="59"/>
      <c r="B47" s="59"/>
      <c r="C47" s="60"/>
      <c r="D47" s="59"/>
      <c r="E47" s="59"/>
    </row>
    <row r="48" spans="1:5" ht="19.5" customHeight="1">
      <c r="A48" s="59"/>
      <c r="B48" s="59"/>
      <c r="C48" s="60"/>
      <c r="D48" s="59"/>
      <c r="E48" s="59"/>
    </row>
    <row r="49" spans="1:5" ht="19.5" customHeight="1">
      <c r="A49" s="59"/>
      <c r="B49" s="59"/>
      <c r="C49" s="60"/>
      <c r="D49" s="59"/>
      <c r="E49" s="59"/>
    </row>
    <row r="50" spans="1:5" ht="19.5" customHeight="1">
      <c r="A50" s="59"/>
      <c r="B50" s="59"/>
      <c r="C50" s="60"/>
      <c r="D50" s="59"/>
      <c r="E50" s="59"/>
    </row>
    <row r="51" spans="1:5" ht="19.5" customHeight="1">
      <c r="A51" s="59"/>
      <c r="B51" s="59"/>
      <c r="C51" s="60"/>
      <c r="D51" s="59"/>
      <c r="E51" s="59"/>
    </row>
    <row r="52" spans="1:5" ht="19.5" customHeight="1">
      <c r="A52" s="59"/>
      <c r="B52" s="59"/>
      <c r="C52" s="60"/>
      <c r="D52" s="59"/>
      <c r="E52" s="59"/>
    </row>
    <row r="53" spans="1:5" ht="19.5" customHeight="1">
      <c r="A53" s="59"/>
      <c r="B53" s="59"/>
      <c r="C53" s="60"/>
      <c r="D53" s="59"/>
      <c r="E53" s="59"/>
    </row>
    <row r="54" spans="1:5" ht="19.5" customHeight="1">
      <c r="A54" s="59"/>
      <c r="B54" s="59"/>
      <c r="C54" s="60"/>
      <c r="D54" s="59"/>
      <c r="E54" s="59"/>
    </row>
    <row r="55" spans="1:5" ht="19.5" customHeight="1">
      <c r="A55" s="59"/>
      <c r="B55" s="59"/>
      <c r="C55" s="60"/>
      <c r="D55" s="59"/>
      <c r="E55" s="59"/>
    </row>
    <row r="56" spans="1:5" ht="19.5" customHeight="1">
      <c r="A56" s="59"/>
      <c r="B56" s="59"/>
      <c r="C56" s="60"/>
      <c r="D56" s="59"/>
      <c r="E56" s="59"/>
    </row>
    <row r="57" spans="1:5" ht="19.5" customHeight="1">
      <c r="A57" s="59"/>
      <c r="B57" s="59"/>
      <c r="C57" s="60"/>
      <c r="D57" s="59"/>
      <c r="E57" s="59"/>
    </row>
    <row r="58" spans="1:5" ht="19.5" customHeight="1">
      <c r="A58" s="59"/>
      <c r="B58" s="59"/>
      <c r="C58" s="60"/>
      <c r="D58" s="59"/>
      <c r="E58" s="59"/>
    </row>
    <row r="59" spans="1:5" ht="19.5" customHeight="1">
      <c r="A59" s="59"/>
      <c r="B59" s="59"/>
      <c r="C59" s="60"/>
      <c r="D59" s="59"/>
      <c r="E59" s="59"/>
    </row>
    <row r="60" spans="1:5" ht="19.5" customHeight="1">
      <c r="A60" s="59"/>
      <c r="B60" s="59"/>
      <c r="C60" s="60"/>
      <c r="D60" s="59"/>
      <c r="E60" s="59"/>
    </row>
    <row r="61" spans="1:5" ht="19.5" customHeight="1">
      <c r="A61" s="59"/>
      <c r="B61" s="59"/>
      <c r="C61" s="60"/>
      <c r="D61" s="59"/>
      <c r="E61" s="59"/>
    </row>
    <row r="62" spans="1:5" ht="19.5" customHeight="1">
      <c r="A62" s="59"/>
      <c r="B62" s="59"/>
      <c r="C62" s="60"/>
      <c r="D62" s="59"/>
      <c r="E62" s="59"/>
    </row>
    <row r="63" spans="1:5" ht="19.5" customHeight="1">
      <c r="A63" s="59"/>
      <c r="B63" s="59"/>
      <c r="C63" s="60"/>
      <c r="D63" s="59"/>
      <c r="E63" s="59"/>
    </row>
    <row r="64" spans="1:5" ht="19.5" customHeight="1">
      <c r="A64" s="59"/>
      <c r="B64" s="59"/>
      <c r="C64" s="60"/>
      <c r="D64" s="59"/>
      <c r="E64" s="59"/>
    </row>
    <row r="65" spans="1:5" ht="19.5" customHeight="1">
      <c r="A65" s="59"/>
      <c r="B65" s="59"/>
      <c r="C65" s="60"/>
      <c r="D65" s="59"/>
      <c r="E65" s="59"/>
    </row>
    <row r="66" spans="1:5" ht="19.5" customHeight="1">
      <c r="A66" s="59"/>
      <c r="B66" s="59"/>
      <c r="C66" s="60"/>
      <c r="D66" s="59"/>
      <c r="E66" s="59"/>
    </row>
    <row r="67" spans="1:5" ht="19.5" customHeight="1">
      <c r="A67" s="59"/>
      <c r="B67" s="59"/>
      <c r="C67" s="60"/>
      <c r="D67" s="59"/>
      <c r="E67" s="59"/>
    </row>
    <row r="68" spans="1:5" ht="19.5" customHeight="1">
      <c r="A68" s="59"/>
      <c r="B68" s="59"/>
      <c r="C68" s="60"/>
      <c r="D68" s="59"/>
      <c r="E68" s="59"/>
    </row>
    <row r="69" spans="1:5" ht="19.5" customHeight="1">
      <c r="A69" s="59"/>
      <c r="B69" s="59"/>
      <c r="C69" s="60"/>
      <c r="D69" s="59"/>
      <c r="E69" s="59"/>
    </row>
    <row r="70" spans="1:5" ht="19.5" customHeight="1">
      <c r="A70" s="59"/>
      <c r="B70" s="59"/>
      <c r="C70" s="60"/>
      <c r="D70" s="59"/>
      <c r="E70" s="59"/>
    </row>
    <row r="71" spans="1:5" ht="19.5" customHeight="1">
      <c r="A71" s="59"/>
      <c r="B71" s="59"/>
      <c r="C71" s="60"/>
      <c r="D71" s="59"/>
      <c r="E71" s="59"/>
    </row>
    <row r="72" spans="1:5" ht="19.5" customHeight="1">
      <c r="A72" s="59"/>
      <c r="B72" s="59"/>
      <c r="C72" s="60"/>
      <c r="D72" s="59"/>
      <c r="E72" s="59"/>
    </row>
    <row r="73" spans="1:5" ht="19.5" customHeight="1">
      <c r="A73" s="59"/>
      <c r="B73" s="59"/>
      <c r="C73" s="60"/>
      <c r="D73" s="59"/>
      <c r="E73" s="59"/>
    </row>
    <row r="74" spans="1:5" ht="19.5" customHeight="1">
      <c r="A74" s="59"/>
      <c r="B74" s="59"/>
      <c r="C74" s="60"/>
      <c r="D74" s="59"/>
      <c r="E74" s="59"/>
    </row>
    <row r="75" spans="1:5" ht="19.5" customHeight="1">
      <c r="A75" s="59"/>
      <c r="B75" s="59"/>
      <c r="C75" s="60"/>
      <c r="D75" s="59"/>
      <c r="E75" s="59"/>
    </row>
    <row r="76" spans="1:5" ht="19.5" customHeight="1">
      <c r="A76" s="59"/>
      <c r="B76" s="59"/>
      <c r="C76" s="60"/>
      <c r="D76" s="59"/>
      <c r="E76" s="59"/>
    </row>
    <row r="77" spans="1:5" ht="19.5" customHeight="1">
      <c r="A77" s="59"/>
      <c r="B77" s="59"/>
      <c r="C77" s="60"/>
      <c r="D77" s="59"/>
      <c r="E77" s="59"/>
    </row>
    <row r="78" spans="1:5" ht="19.5" customHeight="1">
      <c r="A78" s="59"/>
      <c r="B78" s="59"/>
      <c r="C78" s="60"/>
      <c r="D78" s="59"/>
      <c r="E78" s="59"/>
    </row>
    <row r="79" spans="1:5" ht="19.5" customHeight="1">
      <c r="A79" s="59"/>
      <c r="B79" s="59"/>
      <c r="C79" s="60"/>
      <c r="D79" s="59"/>
      <c r="E79" s="59"/>
    </row>
    <row r="80" spans="1:5" ht="19.5" customHeight="1">
      <c r="A80" s="59"/>
      <c r="B80" s="59"/>
      <c r="C80" s="60"/>
      <c r="D80" s="59"/>
      <c r="E80" s="59"/>
    </row>
    <row r="81" spans="1:5" ht="19.5" customHeight="1">
      <c r="A81" s="59"/>
      <c r="B81" s="59"/>
      <c r="C81" s="60"/>
      <c r="D81" s="59"/>
      <c r="E81" s="59"/>
    </row>
    <row r="82" spans="1:5" ht="19.5" customHeight="1">
      <c r="A82" s="59"/>
      <c r="B82" s="59"/>
      <c r="C82" s="60"/>
      <c r="D82" s="59"/>
      <c r="E82" s="59"/>
    </row>
    <row r="83" spans="1:5" ht="19.5" customHeight="1">
      <c r="A83" s="59"/>
      <c r="B83" s="59"/>
      <c r="C83" s="60"/>
      <c r="D83" s="59"/>
      <c r="E83" s="59"/>
    </row>
    <row r="84" spans="1:5" ht="19.5" customHeight="1">
      <c r="A84" s="59"/>
      <c r="B84" s="59"/>
      <c r="C84" s="60"/>
      <c r="D84" s="59"/>
      <c r="E84" s="59"/>
    </row>
    <row r="85" spans="1:5" ht="19.5" customHeight="1">
      <c r="A85" s="59"/>
      <c r="B85" s="59"/>
      <c r="C85" s="60"/>
      <c r="D85" s="59"/>
      <c r="E85" s="59"/>
    </row>
    <row r="86" spans="1:5" ht="19.5" customHeight="1">
      <c r="A86" s="59"/>
      <c r="B86" s="59"/>
      <c r="C86" s="60"/>
      <c r="D86" s="59"/>
      <c r="E86" s="59"/>
    </row>
    <row r="87" spans="1:5" ht="19.5" customHeight="1">
      <c r="A87" s="59"/>
      <c r="B87" s="59"/>
      <c r="C87" s="60"/>
      <c r="D87" s="59"/>
      <c r="E87" s="59"/>
    </row>
    <row r="88" spans="1:5" ht="19.5" customHeight="1">
      <c r="A88" s="59"/>
      <c r="B88" s="59"/>
      <c r="C88" s="60"/>
      <c r="D88" s="59"/>
      <c r="E88" s="59"/>
    </row>
    <row r="89" spans="1:5" ht="19.5" customHeight="1">
      <c r="A89" s="59"/>
      <c r="B89" s="59"/>
      <c r="C89" s="60"/>
      <c r="D89" s="59"/>
      <c r="E89" s="59"/>
    </row>
    <row r="90" spans="1:5" ht="19.5" customHeight="1">
      <c r="A90" s="59"/>
      <c r="B90" s="59"/>
      <c r="C90" s="60"/>
      <c r="D90" s="59"/>
      <c r="E90" s="59"/>
    </row>
    <row r="91" spans="1:5" ht="19.5" customHeight="1">
      <c r="A91" s="59"/>
      <c r="B91" s="59"/>
      <c r="C91" s="60"/>
      <c r="D91" s="59"/>
      <c r="E91" s="59"/>
    </row>
    <row r="92" spans="1:5" ht="19.5" customHeight="1">
      <c r="A92" s="59"/>
      <c r="B92" s="59"/>
      <c r="C92" s="60"/>
      <c r="D92" s="59"/>
      <c r="E92" s="59"/>
    </row>
    <row r="93" spans="1:5" ht="19.5" customHeight="1">
      <c r="A93" s="59"/>
      <c r="B93" s="59"/>
      <c r="C93" s="60"/>
      <c r="D93" s="59"/>
      <c r="E93" s="59"/>
    </row>
    <row r="94" spans="1:5" ht="19.5" customHeight="1">
      <c r="A94" s="59"/>
      <c r="B94" s="59"/>
      <c r="C94" s="60"/>
      <c r="D94" s="59"/>
      <c r="E94" s="59"/>
    </row>
    <row r="95" spans="1:5" ht="19.5" customHeight="1">
      <c r="A95" s="59"/>
      <c r="B95" s="59"/>
      <c r="C95" s="60"/>
      <c r="D95" s="59"/>
      <c r="E95" s="59"/>
    </row>
    <row r="96" spans="1:5" ht="19.5" customHeight="1">
      <c r="A96" s="59"/>
      <c r="B96" s="59"/>
      <c r="C96" s="60"/>
      <c r="D96" s="59"/>
      <c r="E96" s="59"/>
    </row>
    <row r="97" spans="1:5" ht="19.5" customHeight="1">
      <c r="A97" s="59"/>
      <c r="B97" s="59"/>
      <c r="C97" s="60"/>
      <c r="D97" s="59"/>
      <c r="E97" s="59"/>
    </row>
    <row r="98" spans="1:5" ht="19.5" customHeight="1">
      <c r="A98" s="59"/>
      <c r="B98" s="59"/>
      <c r="C98" s="60"/>
      <c r="D98" s="59"/>
      <c r="E98" s="59"/>
    </row>
    <row r="99" spans="1:5" ht="19.5" customHeight="1">
      <c r="A99" s="59"/>
      <c r="B99" s="59"/>
      <c r="C99" s="60"/>
      <c r="D99" s="59"/>
      <c r="E99" s="59"/>
    </row>
    <row r="100" spans="1:5" ht="19.5" customHeight="1">
      <c r="A100" s="59"/>
      <c r="B100" s="59"/>
      <c r="C100" s="60"/>
      <c r="D100" s="59"/>
      <c r="E100" s="59"/>
    </row>
    <row r="101" spans="1:5" ht="19.5" customHeight="1">
      <c r="A101" s="59"/>
      <c r="B101" s="59"/>
      <c r="C101" s="60"/>
      <c r="D101" s="59"/>
      <c r="E101" s="59"/>
    </row>
    <row r="102" spans="1:5" ht="19.5" customHeight="1">
      <c r="A102" s="59"/>
      <c r="B102" s="59"/>
      <c r="C102" s="60"/>
      <c r="D102" s="59"/>
      <c r="E102" s="59"/>
    </row>
    <row r="103" spans="1:5" ht="19.5" customHeight="1">
      <c r="A103" s="59"/>
      <c r="B103" s="59"/>
      <c r="C103" s="60"/>
      <c r="D103" s="59"/>
      <c r="E103" s="59"/>
    </row>
    <row r="104" spans="1:5" ht="19.5" customHeight="1">
      <c r="A104" s="59"/>
      <c r="B104" s="59"/>
      <c r="C104" s="60"/>
      <c r="D104" s="59"/>
      <c r="E104" s="59"/>
    </row>
    <row r="105" spans="1:5" ht="19.5" customHeight="1">
      <c r="A105" s="59"/>
      <c r="B105" s="59"/>
      <c r="C105" s="60"/>
      <c r="D105" s="59"/>
      <c r="E105" s="59"/>
    </row>
    <row r="106" spans="1:5" ht="19.5" customHeight="1">
      <c r="A106" s="59"/>
      <c r="B106" s="59"/>
      <c r="C106" s="60"/>
      <c r="D106" s="59"/>
      <c r="E106" s="59"/>
    </row>
    <row r="107" spans="1:5" ht="19.5" customHeight="1">
      <c r="A107" s="59"/>
      <c r="B107" s="59"/>
      <c r="C107" s="60"/>
      <c r="D107" s="59"/>
      <c r="E107" s="59"/>
    </row>
    <row r="108" spans="1:5" ht="19.5" customHeight="1">
      <c r="A108" s="59"/>
      <c r="B108" s="59"/>
      <c r="C108" s="60"/>
      <c r="D108" s="59"/>
      <c r="E108" s="59"/>
    </row>
    <row r="109" spans="1:5" ht="19.5" customHeight="1">
      <c r="A109" s="59"/>
      <c r="B109" s="59"/>
      <c r="C109" s="60"/>
      <c r="D109" s="59"/>
      <c r="E109" s="59"/>
    </row>
    <row r="110" spans="1:5" ht="19.5" customHeight="1">
      <c r="A110" s="59"/>
      <c r="B110" s="59"/>
      <c r="C110" s="60"/>
      <c r="D110" s="59"/>
      <c r="E110" s="59"/>
    </row>
    <row r="111" spans="1:5" ht="19.5" customHeight="1">
      <c r="A111" s="59"/>
      <c r="B111" s="59"/>
      <c r="C111" s="60"/>
      <c r="D111" s="59"/>
      <c r="E111" s="59"/>
    </row>
    <row r="112" spans="1:5" ht="19.5" customHeight="1">
      <c r="A112" s="59"/>
      <c r="B112" s="59"/>
      <c r="C112" s="60"/>
      <c r="D112" s="59"/>
      <c r="E112" s="59"/>
    </row>
    <row r="113" spans="1:5" ht="19.5" customHeight="1">
      <c r="A113" s="59"/>
      <c r="B113" s="59"/>
      <c r="C113" s="60"/>
      <c r="D113" s="59"/>
      <c r="E113" s="59"/>
    </row>
    <row r="114" spans="1:5" ht="19.5" customHeight="1">
      <c r="A114" s="59"/>
      <c r="B114" s="59"/>
      <c r="C114" s="60"/>
      <c r="D114" s="59"/>
      <c r="E114" s="59"/>
    </row>
    <row r="115" spans="1:5" ht="19.5" customHeight="1">
      <c r="A115" s="59"/>
      <c r="B115" s="59"/>
      <c r="C115" s="60"/>
      <c r="D115" s="59"/>
      <c r="E115" s="59"/>
    </row>
    <row r="116" spans="1:5" ht="19.5" customHeight="1">
      <c r="A116" s="59"/>
      <c r="B116" s="59"/>
      <c r="C116" s="60"/>
      <c r="D116" s="59"/>
      <c r="E116" s="59"/>
    </row>
    <row r="117" spans="1:5" ht="19.5" customHeight="1">
      <c r="A117" s="59"/>
      <c r="B117" s="59"/>
      <c r="C117" s="60"/>
      <c r="D117" s="59"/>
      <c r="E117" s="59"/>
    </row>
    <row r="118" spans="1:5" ht="19.5" customHeight="1">
      <c r="A118" s="59"/>
      <c r="B118" s="59"/>
      <c r="C118" s="60"/>
      <c r="D118" s="59"/>
      <c r="E118" s="59"/>
    </row>
    <row r="119" spans="1:5" ht="19.5" customHeight="1">
      <c r="A119" s="59"/>
      <c r="B119" s="59"/>
      <c r="C119" s="60"/>
      <c r="D119" s="59"/>
      <c r="E119" s="59"/>
    </row>
    <row r="120" spans="1:5" ht="19.5" customHeight="1">
      <c r="A120" s="59"/>
      <c r="B120" s="59"/>
      <c r="C120" s="60"/>
      <c r="D120" s="59"/>
      <c r="E120" s="59"/>
    </row>
    <row r="121" spans="1:5" ht="19.5" customHeight="1">
      <c r="A121" s="59"/>
      <c r="B121" s="59"/>
      <c r="C121" s="60"/>
      <c r="D121" s="59"/>
      <c r="E121" s="59"/>
    </row>
    <row r="122" spans="1:5" ht="19.5" customHeight="1">
      <c r="A122" s="59"/>
      <c r="B122" s="59"/>
      <c r="C122" s="60"/>
      <c r="D122" s="59"/>
      <c r="E122" s="59"/>
    </row>
    <row r="123" spans="1:5" ht="19.5" customHeight="1">
      <c r="A123" s="59"/>
      <c r="B123" s="59"/>
      <c r="C123" s="60"/>
      <c r="D123" s="59"/>
      <c r="E123" s="59"/>
    </row>
    <row r="124" spans="1:5" ht="19.5" customHeight="1">
      <c r="A124" s="59"/>
      <c r="B124" s="59"/>
      <c r="C124" s="60"/>
      <c r="D124" s="59"/>
      <c r="E124" s="59"/>
    </row>
    <row r="125" spans="1:5" ht="19.5" customHeight="1">
      <c r="A125" s="59"/>
      <c r="B125" s="59"/>
      <c r="C125" s="60"/>
      <c r="D125" s="59"/>
      <c r="E125" s="59"/>
    </row>
    <row r="126" spans="1:5" ht="19.5" customHeight="1">
      <c r="A126" s="59"/>
      <c r="B126" s="59"/>
      <c r="C126" s="60"/>
      <c r="D126" s="59"/>
      <c r="E126" s="59"/>
    </row>
    <row r="127" spans="1:5" ht="19.5" customHeight="1">
      <c r="A127" s="59"/>
      <c r="B127" s="59"/>
      <c r="C127" s="60"/>
      <c r="D127" s="59"/>
      <c r="E127" s="59"/>
    </row>
    <row r="128" spans="1:5" ht="19.5" customHeight="1">
      <c r="A128" s="59"/>
      <c r="B128" s="59"/>
      <c r="C128" s="60"/>
      <c r="D128" s="59"/>
      <c r="E128" s="59"/>
    </row>
    <row r="129" spans="1:5" ht="19.5" customHeight="1">
      <c r="A129" s="59"/>
      <c r="B129" s="59"/>
      <c r="C129" s="60"/>
      <c r="D129" s="59"/>
      <c r="E129" s="59"/>
    </row>
    <row r="130" spans="1:5" ht="19.5" customHeight="1">
      <c r="A130" s="59"/>
      <c r="B130" s="59"/>
      <c r="C130" s="60"/>
      <c r="D130" s="59"/>
      <c r="E130" s="59"/>
    </row>
    <row r="131" spans="1:5" ht="19.5" customHeight="1">
      <c r="A131" s="59"/>
      <c r="B131" s="59"/>
      <c r="C131" s="60"/>
      <c r="D131" s="59"/>
      <c r="E131" s="59"/>
    </row>
    <row r="132" spans="1:5" ht="19.5" customHeight="1">
      <c r="A132" s="59"/>
      <c r="B132" s="59"/>
      <c r="C132" s="60"/>
      <c r="D132" s="59"/>
      <c r="E132" s="59"/>
    </row>
    <row r="133" spans="1:5" ht="19.5" customHeight="1">
      <c r="A133" s="59"/>
      <c r="B133" s="59"/>
      <c r="C133" s="60"/>
      <c r="D133" s="59"/>
      <c r="E133" s="59"/>
    </row>
    <row r="134" spans="1:5" ht="19.5" customHeight="1">
      <c r="A134" s="59"/>
      <c r="B134" s="59"/>
      <c r="C134" s="60"/>
      <c r="D134" s="59"/>
      <c r="E134" s="59"/>
    </row>
    <row r="135" spans="1:5" ht="19.5" customHeight="1">
      <c r="A135" s="59"/>
      <c r="B135" s="59"/>
      <c r="C135" s="60"/>
      <c r="D135" s="59"/>
      <c r="E135" s="59"/>
    </row>
    <row r="136" spans="1:5" ht="19.5" customHeight="1">
      <c r="A136" s="59"/>
      <c r="B136" s="59"/>
      <c r="C136" s="60"/>
      <c r="D136" s="59"/>
      <c r="E136" s="59"/>
    </row>
    <row r="137" spans="1:5" ht="19.5" customHeight="1">
      <c r="A137" s="59"/>
      <c r="B137" s="59"/>
      <c r="C137" s="60"/>
      <c r="D137" s="59"/>
      <c r="E137" s="59"/>
    </row>
    <row r="138" spans="1:5" ht="19.5" customHeight="1">
      <c r="A138" s="59"/>
      <c r="B138" s="59"/>
      <c r="C138" s="60"/>
      <c r="D138" s="59"/>
      <c r="E138" s="59"/>
    </row>
    <row r="139" spans="1:5" ht="19.5" customHeight="1">
      <c r="A139" s="59"/>
      <c r="B139" s="59"/>
      <c r="C139" s="60"/>
      <c r="D139" s="59"/>
      <c r="E139" s="59"/>
    </row>
    <row r="140" spans="1:5" ht="19.5" customHeight="1">
      <c r="A140" s="59"/>
      <c r="B140" s="59"/>
      <c r="C140" s="60"/>
      <c r="D140" s="59"/>
      <c r="E140" s="59"/>
    </row>
    <row r="141" spans="1:5" ht="19.5" customHeight="1">
      <c r="A141" s="59"/>
      <c r="B141" s="59"/>
      <c r="C141" s="60"/>
      <c r="D141" s="59"/>
      <c r="E141" s="59"/>
    </row>
    <row r="142" spans="1:5" ht="19.5" customHeight="1">
      <c r="A142" s="59"/>
      <c r="B142" s="59"/>
      <c r="C142" s="60"/>
      <c r="D142" s="59"/>
      <c r="E142" s="59"/>
    </row>
    <row r="143" spans="1:5" ht="19.5" customHeight="1">
      <c r="A143" s="59"/>
      <c r="B143" s="59"/>
      <c r="C143" s="60"/>
      <c r="D143" s="59"/>
      <c r="E143" s="59"/>
    </row>
    <row r="144" spans="1:5" ht="19.5" customHeight="1">
      <c r="A144" s="59"/>
      <c r="B144" s="59"/>
      <c r="C144" s="60"/>
      <c r="D144" s="59"/>
      <c r="E144" s="59"/>
    </row>
    <row r="145" spans="1:5" ht="19.5" customHeight="1">
      <c r="A145" s="59"/>
      <c r="B145" s="59"/>
      <c r="C145" s="60"/>
      <c r="D145" s="59"/>
      <c r="E145" s="59"/>
    </row>
    <row r="146" spans="1:5" ht="19.5" customHeight="1">
      <c r="A146" s="59"/>
      <c r="B146" s="59"/>
      <c r="C146" s="60"/>
      <c r="D146" s="59"/>
      <c r="E146" s="59"/>
    </row>
    <row r="147" spans="1:5" ht="19.5" customHeight="1">
      <c r="A147" s="59"/>
      <c r="B147" s="59"/>
      <c r="C147" s="60"/>
      <c r="D147" s="59"/>
      <c r="E147" s="59"/>
    </row>
    <row r="148" spans="1:5" ht="19.5" customHeight="1">
      <c r="A148" s="59"/>
      <c r="B148" s="59"/>
      <c r="C148" s="60"/>
      <c r="D148" s="59"/>
      <c r="E148" s="59"/>
    </row>
    <row r="149" spans="1:5" ht="19.5" customHeight="1">
      <c r="A149" s="59"/>
      <c r="B149" s="59"/>
      <c r="C149" s="60"/>
      <c r="D149" s="59"/>
      <c r="E149" s="59"/>
    </row>
    <row r="150" spans="1:5" ht="19.5" customHeight="1">
      <c r="A150" s="59"/>
      <c r="B150" s="59"/>
      <c r="C150" s="60"/>
      <c r="D150" s="59"/>
      <c r="E150" s="59"/>
    </row>
    <row r="151" spans="1:5" ht="19.5" customHeight="1">
      <c r="A151" s="59"/>
      <c r="B151" s="59"/>
      <c r="C151" s="60"/>
      <c r="D151" s="59"/>
      <c r="E151" s="59"/>
    </row>
    <row r="152" spans="1:5" ht="19.5" customHeight="1">
      <c r="A152" s="59"/>
      <c r="B152" s="59"/>
      <c r="C152" s="60"/>
      <c r="D152" s="59"/>
      <c r="E152" s="59"/>
    </row>
    <row r="153" spans="1:5" ht="19.5" customHeight="1">
      <c r="A153" s="59"/>
      <c r="B153" s="59"/>
      <c r="C153" s="60"/>
      <c r="D153" s="59"/>
      <c r="E153" s="59"/>
    </row>
    <row r="154" spans="1:5" ht="19.5" customHeight="1">
      <c r="A154" s="59"/>
      <c r="B154" s="59"/>
      <c r="C154" s="60"/>
      <c r="D154" s="59"/>
      <c r="E154" s="59"/>
    </row>
    <row r="155" spans="1:5" ht="19.5" customHeight="1">
      <c r="A155" s="59"/>
      <c r="B155" s="59"/>
      <c r="C155" s="60"/>
      <c r="D155" s="59"/>
      <c r="E155" s="59"/>
    </row>
    <row r="156" spans="1:5" ht="19.5" customHeight="1">
      <c r="A156" s="59"/>
      <c r="B156" s="59"/>
      <c r="C156" s="60"/>
      <c r="D156" s="59"/>
      <c r="E156" s="59"/>
    </row>
    <row r="157" spans="1:5" ht="19.5" customHeight="1">
      <c r="A157" s="59"/>
      <c r="B157" s="59"/>
      <c r="C157" s="60"/>
      <c r="D157" s="59"/>
      <c r="E157" s="59"/>
    </row>
    <row r="158" spans="1:5" ht="19.5" customHeight="1">
      <c r="A158" s="59"/>
      <c r="B158" s="59"/>
      <c r="C158" s="60"/>
      <c r="D158" s="59"/>
      <c r="E158" s="59"/>
    </row>
    <row r="159" spans="1:5" ht="19.5" customHeight="1">
      <c r="A159" s="59"/>
      <c r="B159" s="59"/>
      <c r="C159" s="60"/>
      <c r="D159" s="59"/>
      <c r="E159" s="59"/>
    </row>
    <row r="160" spans="1:5" ht="19.5" customHeight="1">
      <c r="A160" s="59"/>
      <c r="B160" s="59"/>
      <c r="C160" s="60"/>
      <c r="D160" s="59"/>
      <c r="E160" s="59"/>
    </row>
    <row r="161" spans="1:5" ht="19.5" customHeight="1">
      <c r="A161" s="59"/>
      <c r="B161" s="59"/>
      <c r="C161" s="60"/>
      <c r="D161" s="59"/>
      <c r="E161" s="59"/>
    </row>
    <row r="162" spans="1:5" ht="19.5" customHeight="1">
      <c r="A162" s="59"/>
      <c r="B162" s="59"/>
      <c r="C162" s="60"/>
      <c r="D162" s="59"/>
      <c r="E162" s="59"/>
    </row>
    <row r="163" spans="1:5" ht="19.5" customHeight="1">
      <c r="A163" s="59"/>
      <c r="B163" s="59"/>
      <c r="C163" s="60"/>
      <c r="D163" s="59"/>
      <c r="E163" s="59"/>
    </row>
    <row r="164" spans="1:5" ht="19.5" customHeight="1">
      <c r="A164" s="59"/>
      <c r="B164" s="59"/>
      <c r="C164" s="60"/>
      <c r="D164" s="59"/>
      <c r="E164" s="59"/>
    </row>
    <row r="165" spans="1:5" ht="19.5" customHeight="1">
      <c r="A165" s="59"/>
      <c r="B165" s="59"/>
      <c r="C165" s="60"/>
      <c r="D165" s="59"/>
      <c r="E165" s="59"/>
    </row>
    <row r="166" spans="1:5" ht="19.5" customHeight="1">
      <c r="A166" s="59"/>
      <c r="B166" s="59"/>
      <c r="C166" s="60"/>
      <c r="D166" s="59"/>
      <c r="E166" s="59"/>
    </row>
    <row r="167" spans="1:5" ht="19.5" customHeight="1">
      <c r="A167" s="59"/>
      <c r="B167" s="59"/>
      <c r="C167" s="60"/>
      <c r="D167" s="59"/>
      <c r="E167" s="59"/>
    </row>
    <row r="168" spans="1:5" ht="19.5" customHeight="1">
      <c r="A168" s="59"/>
      <c r="B168" s="59"/>
      <c r="C168" s="60"/>
      <c r="D168" s="59"/>
      <c r="E168" s="59"/>
    </row>
    <row r="169" spans="1:5" ht="19.5" customHeight="1">
      <c r="A169" s="59"/>
      <c r="B169" s="59"/>
      <c r="C169" s="60"/>
      <c r="D169" s="59"/>
      <c r="E169" s="59"/>
    </row>
    <row r="170" spans="1:5" ht="19.5" customHeight="1">
      <c r="A170" s="59"/>
      <c r="B170" s="59"/>
      <c r="C170" s="60"/>
      <c r="D170" s="59"/>
      <c r="E170" s="59"/>
    </row>
    <row r="171" spans="1:5" ht="19.5" customHeight="1">
      <c r="A171" s="59"/>
      <c r="B171" s="59"/>
      <c r="C171" s="60"/>
      <c r="D171" s="59"/>
      <c r="E171" s="59"/>
    </row>
    <row r="172" spans="1:5" ht="19.5" customHeight="1">
      <c r="A172" s="59"/>
      <c r="B172" s="59"/>
      <c r="C172" s="60"/>
      <c r="D172" s="59"/>
      <c r="E172" s="59"/>
    </row>
    <row r="173" spans="1:5" ht="19.5" customHeight="1">
      <c r="A173" s="59"/>
      <c r="B173" s="59"/>
      <c r="C173" s="60"/>
      <c r="D173" s="59"/>
      <c r="E173" s="59"/>
    </row>
    <row r="174" spans="1:5" ht="19.5" customHeight="1">
      <c r="A174" s="59"/>
      <c r="B174" s="59"/>
      <c r="C174" s="60"/>
      <c r="D174" s="59"/>
      <c r="E174" s="59"/>
    </row>
    <row r="175" spans="1:5" ht="19.5" customHeight="1">
      <c r="A175" s="59"/>
      <c r="B175" s="59"/>
      <c r="C175" s="60"/>
      <c r="D175" s="59"/>
      <c r="E175" s="59"/>
    </row>
    <row r="176" spans="1:5" ht="19.5" customHeight="1">
      <c r="A176" s="59"/>
      <c r="B176" s="59"/>
      <c r="C176" s="60"/>
      <c r="D176" s="59"/>
      <c r="E176" s="59"/>
    </row>
    <row r="177" spans="1:5" ht="19.5" customHeight="1">
      <c r="A177" s="59"/>
      <c r="B177" s="59"/>
      <c r="C177" s="60"/>
      <c r="D177" s="59"/>
      <c r="E177" s="59"/>
    </row>
    <row r="178" spans="1:5" ht="19.5" customHeight="1">
      <c r="A178" s="59"/>
      <c r="B178" s="59"/>
      <c r="C178" s="60"/>
      <c r="D178" s="59"/>
      <c r="E178" s="59"/>
    </row>
    <row r="179" spans="1:5" ht="19.5" customHeight="1">
      <c r="A179" s="59"/>
      <c r="B179" s="59"/>
      <c r="C179" s="60"/>
      <c r="D179" s="59"/>
      <c r="E179" s="59"/>
    </row>
    <row r="180" spans="1:5" ht="19.5" customHeight="1">
      <c r="A180" s="59"/>
      <c r="B180" s="59"/>
      <c r="C180" s="60"/>
      <c r="D180" s="59"/>
      <c r="E180" s="59"/>
    </row>
    <row r="181" spans="1:5" ht="19.5" customHeight="1">
      <c r="A181" s="59"/>
      <c r="B181" s="59"/>
      <c r="C181" s="60"/>
      <c r="D181" s="59"/>
      <c r="E181" s="59"/>
    </row>
    <row r="182" spans="1:5" ht="19.5" customHeight="1">
      <c r="A182" s="59"/>
      <c r="B182" s="59"/>
      <c r="C182" s="60"/>
      <c r="D182" s="59"/>
      <c r="E182" s="59"/>
    </row>
    <row r="183" spans="1:5" ht="19.5" customHeight="1">
      <c r="A183" s="59"/>
      <c r="B183" s="59"/>
      <c r="C183" s="60"/>
      <c r="D183" s="59"/>
      <c r="E183" s="59"/>
    </row>
    <row r="184" spans="1:5" ht="19.5" customHeight="1">
      <c r="A184" s="59"/>
      <c r="B184" s="59"/>
      <c r="C184" s="60"/>
      <c r="D184" s="59"/>
      <c r="E184" s="59"/>
    </row>
    <row r="185" spans="1:5" ht="19.5" customHeight="1">
      <c r="A185" s="59"/>
      <c r="B185" s="59"/>
      <c r="C185" s="60"/>
      <c r="D185" s="59"/>
      <c r="E185" s="59"/>
    </row>
    <row r="186" spans="1:5" ht="19.5" customHeight="1">
      <c r="A186" s="59"/>
      <c r="B186" s="59"/>
      <c r="C186" s="60"/>
      <c r="D186" s="59"/>
      <c r="E186" s="59"/>
    </row>
    <row r="187" spans="1:5" ht="19.5" customHeight="1">
      <c r="A187" s="59"/>
      <c r="B187" s="59"/>
      <c r="C187" s="60"/>
      <c r="D187" s="59"/>
      <c r="E187" s="59"/>
    </row>
    <row r="188" spans="1:5" ht="19.5" customHeight="1">
      <c r="A188" s="59"/>
      <c r="B188" s="59"/>
      <c r="C188" s="60"/>
      <c r="D188" s="59"/>
      <c r="E188" s="59"/>
    </row>
    <row r="189" spans="1:5" ht="19.5" customHeight="1">
      <c r="A189" s="59"/>
      <c r="B189" s="59"/>
      <c r="C189" s="60" t="str">
        <f>IFERROR(INDEX('Planificación Anual'!F$10:F$350, _xlfn.AGGREGATE(15, 6, (ROW('Planificación Anual'!$A$10:$A$350)-ROW('Planificación Anual'!$A$10)+1)/('Planificación Anual'!$A$10:$A$350=#REF!), ROWS($A$6:C189))), "")</f>
        <v/>
      </c>
      <c r="D189" s="59" t="str">
        <f>IFERROR(INDEX('Planificación Anual'!G$10:G$350, _xlfn.AGGREGATE(15, 6, (ROW('Planificación Anual'!$A$10:$A$350)-ROW('Planificación Anual'!$A$10)+1)/('Planificación Anual'!$A$10:$A$350=#REF!), ROWS($A$6:D189))), "")</f>
        <v/>
      </c>
      <c r="E189" s="59" t="str">
        <f>IFERROR(INDEX('Planificación Anual'!H$10:H$350, _xlfn.AGGREGATE(15, 6, (ROW('Planificación Anual'!$A$10:$A$350)-ROW('Planificación Anual'!$A$10)+1)/('Planificación Anual'!$A$10:$A$350=#REF!), ROWS($A$6:E189))), "")</f>
        <v/>
      </c>
    </row>
    <row r="190" spans="1:5" ht="19.5" customHeight="1">
      <c r="A190" s="59"/>
      <c r="B190" s="59"/>
      <c r="C190" s="60" t="str">
        <f>IFERROR(INDEX('Planificación Anual'!F$10:F$350, _xlfn.AGGREGATE(15, 6, (ROW('Planificación Anual'!$A$10:$A$350)-ROW('Planificación Anual'!$A$10)+1)/('Planificación Anual'!$A$10:$A$350=#REF!), ROWS($A$6:C190))), "")</f>
        <v/>
      </c>
      <c r="D190" s="59" t="str">
        <f>IFERROR(INDEX('Planificación Anual'!G$10:G$350, _xlfn.AGGREGATE(15, 6, (ROW('Planificación Anual'!$A$10:$A$350)-ROW('Planificación Anual'!$A$10)+1)/('Planificación Anual'!$A$10:$A$350=#REF!), ROWS($A$6:D190))), "")</f>
        <v/>
      </c>
      <c r="E190" s="59" t="str">
        <f>IFERROR(INDEX('Planificación Anual'!H$10:H$350, _xlfn.AGGREGATE(15, 6, (ROW('Planificación Anual'!$A$10:$A$350)-ROW('Planificación Anual'!$A$10)+1)/('Planificación Anual'!$A$10:$A$350=#REF!), ROWS($A$6:E190))), "")</f>
        <v/>
      </c>
    </row>
    <row r="191" spans="1:5" ht="19.5" customHeight="1">
      <c r="A191" s="59"/>
      <c r="B191" s="59"/>
      <c r="C191" s="60" t="str">
        <f>IFERROR(INDEX('Planificación Anual'!F$10:F$350, _xlfn.AGGREGATE(15, 6, (ROW('Planificación Anual'!$A$10:$A$350)-ROW('Planificación Anual'!$A$10)+1)/('Planificación Anual'!$A$10:$A$350=#REF!), ROWS($A$6:C191))), "")</f>
        <v/>
      </c>
      <c r="D191" s="59" t="str">
        <f>IFERROR(INDEX('Planificación Anual'!G$10:G$350, _xlfn.AGGREGATE(15, 6, (ROW('Planificación Anual'!$A$10:$A$350)-ROW('Planificación Anual'!$A$10)+1)/('Planificación Anual'!$A$10:$A$350=#REF!), ROWS($A$6:D191))), "")</f>
        <v/>
      </c>
      <c r="E191" s="59" t="str">
        <f>IFERROR(INDEX('Planificación Anual'!H$10:H$350, _xlfn.AGGREGATE(15, 6, (ROW('Planificación Anual'!$A$10:$A$350)-ROW('Planificación Anual'!$A$10)+1)/('Planificación Anual'!$A$10:$A$350=#REF!), ROWS($A$6:E191))), "")</f>
        <v/>
      </c>
    </row>
    <row r="192" spans="1:5" ht="19.5" customHeight="1">
      <c r="A192" s="59"/>
      <c r="B192" s="59"/>
      <c r="C192" s="60" t="str">
        <f>IFERROR(INDEX('Planificación Anual'!F$10:F$350, _xlfn.AGGREGATE(15, 6, (ROW('Planificación Anual'!$A$10:$A$350)-ROW('Planificación Anual'!$A$10)+1)/('Planificación Anual'!$A$10:$A$350=#REF!), ROWS($A$6:C192))), "")</f>
        <v/>
      </c>
      <c r="D192" s="59" t="str">
        <f>IFERROR(INDEX('Planificación Anual'!G$10:G$350, _xlfn.AGGREGATE(15, 6, (ROW('Planificación Anual'!$A$10:$A$350)-ROW('Planificación Anual'!$A$10)+1)/('Planificación Anual'!$A$10:$A$350=#REF!), ROWS($A$6:D192))), "")</f>
        <v/>
      </c>
      <c r="E192" s="59" t="str">
        <f>IFERROR(INDEX('Planificación Anual'!H$10:H$350, _xlfn.AGGREGATE(15, 6, (ROW('Planificación Anual'!$A$10:$A$350)-ROW('Planificación Anual'!$A$10)+1)/('Planificación Anual'!$A$10:$A$350=#REF!), ROWS($A$6:E192))), "")</f>
        <v/>
      </c>
    </row>
    <row r="193" spans="1:5" ht="19.5" customHeight="1">
      <c r="A193" s="59"/>
      <c r="B193" s="59"/>
      <c r="C193" s="60" t="str">
        <f>IFERROR(INDEX('Planificación Anual'!F$10:F$350, _xlfn.AGGREGATE(15, 6, (ROW('Planificación Anual'!$A$10:$A$350)-ROW('Planificación Anual'!$A$10)+1)/('Planificación Anual'!$A$10:$A$350=#REF!), ROWS($A$6:C193))), "")</f>
        <v/>
      </c>
      <c r="D193" s="59" t="str">
        <f>IFERROR(INDEX('Planificación Anual'!G$10:G$350, _xlfn.AGGREGATE(15, 6, (ROW('Planificación Anual'!$A$10:$A$350)-ROW('Planificación Anual'!$A$10)+1)/('Planificación Anual'!$A$10:$A$350=#REF!), ROWS($A$6:D193))), "")</f>
        <v/>
      </c>
      <c r="E193" s="59" t="str">
        <f>IFERROR(INDEX('Planificación Anual'!H$10:H$350, _xlfn.AGGREGATE(15, 6, (ROW('Planificación Anual'!$A$10:$A$350)-ROW('Planificación Anual'!$A$10)+1)/('Planificación Anual'!$A$10:$A$350=#REF!), ROWS($A$6:E193))), "")</f>
        <v/>
      </c>
    </row>
    <row r="194" spans="1:5" ht="9" customHeight="1"/>
    <row r="195" spans="1:5" ht="9" customHeight="1"/>
    <row r="196" spans="1:5" ht="9" customHeight="1"/>
    <row r="197" spans="1:5" ht="9" customHeight="1"/>
    <row r="198" spans="1:5" ht="9" customHeight="1"/>
    <row r="199" spans="1:5" ht="9" customHeight="1"/>
    <row r="200" spans="1:5" ht="9" customHeight="1"/>
    <row r="201" spans="1:5" ht="9" customHeight="1"/>
    <row r="202" spans="1:5" ht="9" customHeight="1"/>
    <row r="203" spans="1:5" ht="9" customHeight="1"/>
    <row r="204" spans="1:5" ht="9" customHeight="1"/>
    <row r="205" spans="1:5" ht="9" customHeight="1"/>
    <row r="206" spans="1:5" ht="9" customHeight="1"/>
    <row r="207" spans="1:5" ht="9" customHeight="1"/>
    <row r="208" spans="1:5" ht="9" customHeight="1"/>
    <row r="209" ht="9" customHeight="1"/>
    <row r="210" ht="9" customHeight="1"/>
    <row r="211" ht="9" customHeight="1"/>
    <row r="212" ht="9" customHeight="1"/>
    <row r="213" ht="9" customHeight="1"/>
    <row r="214" ht="9" customHeight="1"/>
    <row r="215" ht="9" customHeight="1"/>
    <row r="216" ht="9" customHeight="1"/>
    <row r="217" ht="9" customHeight="1"/>
    <row r="218" ht="9" customHeight="1"/>
    <row r="219" ht="9" customHeight="1"/>
    <row r="220" ht="9" customHeight="1"/>
    <row r="221" ht="9" customHeight="1"/>
    <row r="222" ht="9" customHeight="1"/>
    <row r="223" ht="9" customHeight="1"/>
    <row r="224" ht="9" customHeight="1"/>
    <row r="225" ht="9" customHeight="1"/>
    <row r="226" ht="9" customHeight="1"/>
    <row r="227" ht="9" customHeight="1"/>
    <row r="228" ht="9" customHeight="1"/>
    <row r="229" ht="9" customHeight="1"/>
    <row r="230" ht="9" customHeight="1"/>
    <row r="231" ht="9" customHeight="1"/>
    <row r="232" ht="9" customHeight="1"/>
    <row r="233" ht="9" customHeight="1"/>
    <row r="234" ht="9" customHeight="1"/>
    <row r="235" ht="9" customHeight="1"/>
    <row r="236" ht="9" customHeight="1"/>
    <row r="237" ht="9" customHeight="1"/>
    <row r="238" ht="9" customHeight="1"/>
    <row r="239" ht="9" customHeight="1"/>
    <row r="240" ht="9" customHeight="1"/>
    <row r="241" ht="9" customHeight="1"/>
    <row r="242" ht="9" customHeight="1"/>
    <row r="243" ht="9" customHeight="1"/>
    <row r="244" ht="9" customHeight="1"/>
    <row r="245" ht="9" customHeight="1"/>
    <row r="246" ht="9" customHeight="1"/>
    <row r="247" ht="9" customHeight="1"/>
    <row r="248" ht="9" customHeight="1"/>
    <row r="249" ht="9" customHeight="1"/>
    <row r="250" ht="9" customHeight="1"/>
    <row r="251" ht="9" customHeight="1"/>
    <row r="252" ht="9" customHeight="1"/>
    <row r="253" ht="9" customHeight="1"/>
    <row r="254" ht="9" customHeight="1"/>
    <row r="255" ht="9" customHeight="1"/>
    <row r="256" ht="9" customHeight="1"/>
    <row r="257" ht="9" customHeight="1"/>
    <row r="258" ht="9" customHeight="1"/>
    <row r="259" ht="9" customHeight="1"/>
    <row r="260" ht="9" customHeight="1"/>
    <row r="261" ht="9" customHeight="1"/>
    <row r="262" ht="9" customHeight="1"/>
    <row r="263" ht="9" customHeight="1"/>
    <row r="264" ht="9" customHeight="1"/>
    <row r="265" ht="9" customHeight="1"/>
    <row r="266" ht="9" customHeight="1"/>
    <row r="267" ht="9" customHeight="1"/>
    <row r="268" ht="9" customHeight="1"/>
    <row r="269" ht="9" customHeight="1"/>
    <row r="270" ht="9" customHeight="1"/>
    <row r="271" ht="9" customHeight="1"/>
    <row r="272" ht="9" customHeight="1"/>
    <row r="273" spans="1:5" ht="9" customHeight="1"/>
    <row r="274" spans="1:5" ht="15.75" customHeight="1">
      <c r="A274" s="97" t="s">
        <v>44</v>
      </c>
      <c r="B274" s="97"/>
      <c r="C274" s="97"/>
      <c r="D274" s="97"/>
      <c r="E274" s="97"/>
    </row>
    <row r="275" spans="1:5" ht="9" customHeight="1"/>
    <row r="276" spans="1:5" ht="9" customHeight="1"/>
    <row r="277" spans="1:5" ht="9" customHeight="1"/>
    <row r="278" spans="1:5" ht="9" customHeight="1"/>
    <row r="279" spans="1:5" ht="9" customHeight="1"/>
    <row r="280" spans="1:5" ht="9" customHeight="1"/>
    <row r="281" spans="1:5" ht="9" customHeight="1"/>
    <row r="282" spans="1:5" ht="9" customHeight="1"/>
    <row r="283" spans="1:5" ht="9" customHeight="1"/>
    <row r="284" spans="1:5" ht="9" customHeight="1"/>
    <row r="285" spans="1:5" ht="9" customHeight="1"/>
    <row r="286" spans="1:5" ht="9" customHeight="1"/>
    <row r="287" spans="1:5" ht="9" customHeight="1"/>
    <row r="288" spans="1:5" ht="9" customHeight="1"/>
    <row r="289" ht="9" customHeight="1"/>
    <row r="290" ht="9" customHeight="1"/>
    <row r="291" ht="9" customHeight="1"/>
    <row r="292" ht="9" customHeight="1"/>
    <row r="293" ht="9" customHeight="1"/>
    <row r="294" ht="9" customHeight="1"/>
    <row r="295" ht="9" customHeight="1"/>
    <row r="296" ht="9" customHeight="1"/>
    <row r="297" ht="9" customHeight="1"/>
    <row r="298" ht="9" customHeight="1"/>
    <row r="299" ht="9" customHeight="1"/>
    <row r="300" ht="9" customHeight="1"/>
    <row r="301" ht="9" customHeight="1"/>
    <row r="302" ht="9" customHeight="1"/>
    <row r="303" ht="9" customHeight="1"/>
    <row r="304" ht="9" customHeight="1"/>
    <row r="305" ht="9" customHeight="1"/>
    <row r="306" ht="9" customHeight="1"/>
    <row r="307" ht="9" customHeight="1"/>
    <row r="308" ht="9" customHeight="1"/>
    <row r="309" ht="9" customHeight="1"/>
    <row r="310" ht="9" customHeight="1"/>
    <row r="311" ht="9" customHeight="1"/>
    <row r="312" ht="9" customHeight="1"/>
    <row r="313" ht="9" customHeight="1"/>
    <row r="314" ht="9" customHeight="1"/>
    <row r="315" ht="9" customHeight="1"/>
    <row r="316" ht="9" customHeight="1"/>
    <row r="317" ht="9" customHeight="1"/>
    <row r="318" ht="9" customHeight="1"/>
    <row r="319" ht="9" customHeight="1"/>
    <row r="320" ht="9" customHeight="1"/>
    <row r="321" ht="9" customHeight="1"/>
    <row r="322" ht="9" customHeight="1"/>
    <row r="323" ht="9" customHeight="1"/>
    <row r="324" ht="9" customHeight="1"/>
    <row r="325" ht="9" customHeight="1"/>
    <row r="326" ht="9" customHeight="1"/>
    <row r="327" ht="9" customHeight="1"/>
    <row r="328" ht="9" customHeight="1"/>
    <row r="329" ht="9" customHeight="1"/>
    <row r="330" ht="9" customHeight="1"/>
    <row r="331" ht="9" customHeight="1"/>
    <row r="332" ht="9" customHeight="1"/>
    <row r="333" ht="9" customHeight="1"/>
    <row r="334" ht="9" customHeight="1"/>
    <row r="335" ht="9" customHeight="1"/>
    <row r="336" ht="9" customHeight="1"/>
    <row r="337" ht="9" customHeight="1"/>
    <row r="338" ht="9" customHeight="1"/>
    <row r="339" ht="9" customHeight="1"/>
    <row r="340" ht="9" customHeight="1"/>
    <row r="341" ht="9" customHeight="1"/>
    <row r="342" ht="9" customHeight="1"/>
    <row r="343" ht="9" customHeight="1"/>
    <row r="344" ht="9" customHeight="1"/>
    <row r="345" ht="9" customHeight="1"/>
    <row r="346" ht="9" customHeight="1"/>
    <row r="347" ht="9" customHeight="1"/>
    <row r="348" ht="9" customHeight="1"/>
    <row r="349" ht="9" customHeight="1"/>
    <row r="350" ht="9" customHeight="1"/>
    <row r="351" ht="9" customHeight="1"/>
    <row r="352" ht="9" customHeight="1"/>
    <row r="353" ht="9" customHeight="1"/>
    <row r="354" ht="9" customHeight="1"/>
  </sheetData>
  <sheetProtection algorithmName="SHA-512" hashValue="u0iabJ4sse5gNzNnbqj02vVhfLT7OM6BopTqOpY+/2Jluogy7s/PsU6r0ulG3KJv+WLEK+VdH8fg23F1yykCUw==" saltValue="RtYIUSw5/FKUs8llapnlQQ==" spinCount="100000" sheet="1" objects="1" scenarios="1" selectLockedCells="1"/>
  <mergeCells count="8">
    <mergeCell ref="A1:E1"/>
    <mergeCell ref="B4:C4"/>
    <mergeCell ref="D4:E4"/>
    <mergeCell ref="A274:E274"/>
    <mergeCell ref="A3:B3"/>
    <mergeCell ref="A2:B2"/>
    <mergeCell ref="C2:D3"/>
    <mergeCell ref="E2:E3"/>
  </mergeCells>
  <printOptions horizontalCentered="1"/>
  <pageMargins left="0.35433070866141736" right="0.15748031496062992" top="0.98425196850393704" bottom="0.98425196850393704" header="0.51181102362204722" footer="0.51181102362204722"/>
  <pageSetup paperSize="9" scale="85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63DF60-4231-4095-9A4B-81C7D1DFD96C}">
          <x14:formula1>
            <xm:f>Listas!$E$2:$E$7</xm:f>
          </x14:formula1>
          <xm:sqref>A3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175D6-AE9D-4894-A6F7-2F809ECBB46C}">
  <dimension ref="A1:J18"/>
  <sheetViews>
    <sheetView workbookViewId="0">
      <selection activeCell="H26" sqref="H26"/>
    </sheetView>
  </sheetViews>
  <sheetFormatPr baseColWidth="10" defaultRowHeight="14.4"/>
  <cols>
    <col min="1" max="1" width="6.109375" style="18" bestFit="1" customWidth="1"/>
    <col min="2" max="2" width="6.109375" style="18" customWidth="1"/>
    <col min="3" max="3" width="9.5546875" bestFit="1" customWidth="1"/>
    <col min="4" max="4" width="13.109375" customWidth="1"/>
    <col min="5" max="5" width="11.88671875" bestFit="1" customWidth="1"/>
    <col min="6" max="6" width="36.109375" bestFit="1" customWidth="1"/>
    <col min="7" max="7" width="18.77734375" bestFit="1" customWidth="1"/>
    <col min="8" max="8" width="14.44140625" bestFit="1" customWidth="1"/>
    <col min="9" max="9" width="17.5546875" bestFit="1" customWidth="1"/>
  </cols>
  <sheetData>
    <row r="1" spans="1:10" ht="20.399999999999999">
      <c r="A1" s="104" t="s">
        <v>150</v>
      </c>
      <c r="B1" s="104"/>
      <c r="C1" s="104"/>
      <c r="D1" s="104"/>
      <c r="E1" s="104"/>
      <c r="F1" s="104"/>
      <c r="G1" s="104"/>
      <c r="H1" s="104"/>
      <c r="I1" s="104"/>
    </row>
    <row r="2" spans="1:10" ht="7.2" customHeight="1"/>
    <row r="3" spans="1:10">
      <c r="A3" s="74" t="s">
        <v>133</v>
      </c>
      <c r="B3" s="74" t="s">
        <v>161</v>
      </c>
      <c r="C3" s="73" t="s">
        <v>146</v>
      </c>
      <c r="D3" s="73" t="s">
        <v>151</v>
      </c>
      <c r="E3" s="73" t="s">
        <v>152</v>
      </c>
      <c r="F3" s="73" t="s">
        <v>153</v>
      </c>
      <c r="G3" s="73" t="s">
        <v>147</v>
      </c>
      <c r="H3" s="73" t="s">
        <v>148</v>
      </c>
      <c r="I3" s="73" t="s">
        <v>149</v>
      </c>
      <c r="J3" s="73" t="s">
        <v>158</v>
      </c>
    </row>
    <row r="4" spans="1:10">
      <c r="A4" s="75">
        <v>1</v>
      </c>
      <c r="B4" s="75"/>
      <c r="C4" s="72"/>
      <c r="D4" s="75" t="s">
        <v>17</v>
      </c>
      <c r="E4" s="72" t="s">
        <v>154</v>
      </c>
      <c r="F4" s="76" t="s">
        <v>155</v>
      </c>
      <c r="G4" s="72"/>
      <c r="H4" s="72"/>
      <c r="I4" s="72"/>
      <c r="J4" s="75" t="s">
        <v>160</v>
      </c>
    </row>
    <row r="5" spans="1:10" ht="28.8">
      <c r="A5" s="77">
        <v>2</v>
      </c>
      <c r="B5" s="77"/>
      <c r="C5" s="78">
        <v>46064</v>
      </c>
      <c r="D5" s="77" t="s">
        <v>1</v>
      </c>
      <c r="E5" s="77" t="s">
        <v>156</v>
      </c>
      <c r="F5" s="77" t="s">
        <v>157</v>
      </c>
      <c r="G5" s="77"/>
      <c r="H5" s="77"/>
      <c r="I5" s="77"/>
      <c r="J5" s="77" t="s">
        <v>159</v>
      </c>
    </row>
    <row r="6" spans="1:10">
      <c r="A6" s="77">
        <v>3</v>
      </c>
      <c r="B6" s="77"/>
      <c r="C6" s="77"/>
      <c r="D6" s="77"/>
      <c r="E6" s="77"/>
      <c r="F6" s="77"/>
      <c r="G6" s="77"/>
      <c r="H6" s="77"/>
      <c r="I6" s="77"/>
      <c r="J6" s="77"/>
    </row>
    <row r="7" spans="1:10">
      <c r="A7" s="77">
        <v>4</v>
      </c>
      <c r="B7" s="77"/>
      <c r="C7" s="77"/>
      <c r="D7" s="77"/>
      <c r="E7" s="77"/>
      <c r="F7" s="77"/>
      <c r="G7" s="77"/>
      <c r="H7" s="77"/>
      <c r="I7" s="77"/>
      <c r="J7" s="77"/>
    </row>
    <row r="8" spans="1:10">
      <c r="A8" s="77">
        <v>5</v>
      </c>
      <c r="B8" s="77"/>
      <c r="C8" s="77"/>
      <c r="D8" s="77"/>
      <c r="E8" s="77"/>
      <c r="F8" s="77"/>
      <c r="G8" s="77"/>
      <c r="H8" s="77"/>
      <c r="I8" s="77"/>
      <c r="J8" s="77"/>
    </row>
    <row r="9" spans="1:10">
      <c r="A9" s="77">
        <v>6</v>
      </c>
      <c r="B9" s="77"/>
      <c r="C9" s="77"/>
      <c r="D9" s="77"/>
      <c r="E9" s="77"/>
      <c r="F9" s="77"/>
      <c r="G9" s="77"/>
      <c r="H9" s="77"/>
      <c r="I9" s="77"/>
      <c r="J9" s="77"/>
    </row>
    <row r="10" spans="1:10">
      <c r="A10" s="77">
        <v>7</v>
      </c>
      <c r="B10" s="77"/>
      <c r="C10" s="77"/>
      <c r="D10" s="77"/>
      <c r="E10" s="77"/>
      <c r="F10" s="77"/>
      <c r="G10" s="77"/>
      <c r="H10" s="77"/>
      <c r="I10" s="77"/>
      <c r="J10" s="77"/>
    </row>
    <row r="11" spans="1:10">
      <c r="A11" s="77">
        <v>8</v>
      </c>
      <c r="B11" s="77"/>
      <c r="C11" s="77"/>
      <c r="D11" s="77"/>
      <c r="E11" s="77"/>
      <c r="F11" s="77"/>
      <c r="G11" s="77"/>
      <c r="H11" s="77"/>
      <c r="I11" s="77"/>
      <c r="J11" s="77"/>
    </row>
    <row r="12" spans="1:10">
      <c r="A12" s="77">
        <v>9</v>
      </c>
      <c r="B12" s="77"/>
      <c r="C12" s="77"/>
      <c r="D12" s="77"/>
      <c r="E12" s="77"/>
      <c r="F12" s="77"/>
      <c r="G12" s="77"/>
      <c r="H12" s="77"/>
      <c r="I12" s="77"/>
      <c r="J12" s="77"/>
    </row>
    <row r="13" spans="1:10">
      <c r="A13" s="77">
        <v>10</v>
      </c>
      <c r="B13" s="77"/>
      <c r="C13" s="77"/>
      <c r="D13" s="77"/>
      <c r="E13" s="77"/>
      <c r="F13" s="77"/>
      <c r="G13" s="77"/>
      <c r="H13" s="77"/>
      <c r="I13" s="77"/>
      <c r="J13" s="77"/>
    </row>
    <row r="14" spans="1:10">
      <c r="A14" s="77">
        <v>11</v>
      </c>
      <c r="B14" s="77"/>
      <c r="C14" s="77"/>
      <c r="D14" s="77"/>
      <c r="E14" s="77"/>
      <c r="F14" s="77"/>
      <c r="G14" s="77"/>
      <c r="H14" s="77"/>
      <c r="I14" s="77"/>
      <c r="J14" s="77"/>
    </row>
    <row r="15" spans="1:10">
      <c r="A15" s="77">
        <v>12</v>
      </c>
      <c r="B15" s="77"/>
      <c r="C15" s="77"/>
      <c r="D15" s="77"/>
      <c r="E15" s="77"/>
      <c r="F15" s="77"/>
      <c r="G15" s="77"/>
      <c r="H15" s="77"/>
      <c r="I15" s="77"/>
      <c r="J15" s="77"/>
    </row>
    <row r="16" spans="1:10">
      <c r="A16" s="77">
        <v>13</v>
      </c>
      <c r="B16" s="77"/>
      <c r="C16" s="77"/>
      <c r="D16" s="77"/>
      <c r="E16" s="77"/>
      <c r="F16" s="77"/>
      <c r="G16" s="77"/>
      <c r="H16" s="77"/>
      <c r="I16" s="77"/>
      <c r="J16" s="77"/>
    </row>
    <row r="17" spans="1:10">
      <c r="A17" s="77">
        <v>14</v>
      </c>
      <c r="B17" s="77"/>
      <c r="C17" s="77"/>
      <c r="D17" s="77"/>
      <c r="E17" s="77"/>
      <c r="F17" s="77"/>
      <c r="G17" s="77"/>
      <c r="H17" s="77"/>
      <c r="I17" s="77"/>
      <c r="J17" s="77"/>
    </row>
    <row r="18" spans="1:10">
      <c r="A18" s="77">
        <v>15</v>
      </c>
      <c r="B18" s="77"/>
      <c r="C18" s="77"/>
      <c r="D18" s="77"/>
      <c r="E18" s="77"/>
      <c r="F18" s="77"/>
      <c r="G18" s="77"/>
      <c r="H18" s="77"/>
      <c r="I18" s="77"/>
      <c r="J18" s="77"/>
    </row>
  </sheetData>
  <mergeCells count="1">
    <mergeCell ref="A1:I1"/>
  </mergeCells>
  <conditionalFormatting sqref="J4:J18">
    <cfRule type="containsText" dxfId="2961" priority="1" operator="containsText" text="NO">
      <formula>NOT(ISERROR(SEARCH("NO",J4)))</formula>
    </cfRule>
    <cfRule type="containsText" dxfId="2960" priority="2" operator="containsText" text="SI">
      <formula>NOT(ISERROR(SEARCH("SI",J4)))</formula>
    </cfRule>
  </conditionalFormatting>
  <printOptions horizontalCentered="1"/>
  <pageMargins left="0.11811023622047245" right="0.11811023622047245" top="0.74803149606299213" bottom="0.74803149606299213" header="0.31496062992125984" footer="0.31496062992125984"/>
  <pageSetup paperSize="9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"/>
  <sheetViews>
    <sheetView workbookViewId="0">
      <selection activeCell="H22" sqref="H22"/>
    </sheetView>
  </sheetViews>
  <sheetFormatPr baseColWidth="10" defaultRowHeight="14.4"/>
  <sheetData>
    <row r="1" spans="1:9">
      <c r="A1" s="17" t="s">
        <v>61</v>
      </c>
      <c r="C1" t="s">
        <v>38</v>
      </c>
      <c r="E1" t="s">
        <v>135</v>
      </c>
      <c r="G1" t="s">
        <v>127</v>
      </c>
    </row>
    <row r="2" spans="1:9">
      <c r="A2" s="17" t="s">
        <v>62</v>
      </c>
      <c r="C2" t="s">
        <v>39</v>
      </c>
      <c r="E2" t="s">
        <v>134</v>
      </c>
      <c r="G2" t="s">
        <v>112</v>
      </c>
      <c r="I2" t="e" cm="1">
        <f t="array" aca="1" ref="I2" ca="1">_xludf.UNIQUE('Planificación Anual'!C4:C325)</f>
        <v>#NAME?</v>
      </c>
    </row>
    <row r="3" spans="1:9">
      <c r="A3" s="17" t="s">
        <v>63</v>
      </c>
      <c r="C3" t="s">
        <v>64</v>
      </c>
      <c r="E3" t="s">
        <v>1</v>
      </c>
      <c r="G3" t="s">
        <v>113</v>
      </c>
    </row>
    <row r="4" spans="1:9">
      <c r="A4" s="17" t="s">
        <v>65</v>
      </c>
      <c r="C4" t="s">
        <v>66</v>
      </c>
      <c r="E4" t="s">
        <v>12</v>
      </c>
      <c r="G4" t="s">
        <v>114</v>
      </c>
    </row>
    <row r="5" spans="1:9">
      <c r="A5" s="17" t="s">
        <v>22</v>
      </c>
      <c r="C5" t="s">
        <v>67</v>
      </c>
      <c r="E5" t="s">
        <v>29</v>
      </c>
      <c r="G5" t="s">
        <v>117</v>
      </c>
    </row>
    <row r="6" spans="1:9">
      <c r="A6" s="17" t="s">
        <v>68</v>
      </c>
      <c r="C6" t="s">
        <v>40</v>
      </c>
      <c r="E6" t="s">
        <v>23</v>
      </c>
      <c r="G6" t="s">
        <v>118</v>
      </c>
    </row>
    <row r="7" spans="1:9">
      <c r="A7" s="17" t="s">
        <v>69</v>
      </c>
      <c r="E7" t="s">
        <v>125</v>
      </c>
      <c r="G7" t="s">
        <v>119</v>
      </c>
    </row>
    <row r="8" spans="1:9">
      <c r="G8" t="s">
        <v>120</v>
      </c>
    </row>
    <row r="9" spans="1:9">
      <c r="G9" t="s">
        <v>121</v>
      </c>
    </row>
    <row r="10" spans="1:9">
      <c r="G10" t="s">
        <v>122</v>
      </c>
    </row>
    <row r="11" spans="1:9">
      <c r="G11" t="s">
        <v>123</v>
      </c>
    </row>
    <row r="12" spans="1:9">
      <c r="G12" t="s">
        <v>124</v>
      </c>
    </row>
    <row r="13" spans="1:9">
      <c r="G13" t="s">
        <v>128</v>
      </c>
    </row>
    <row r="15" spans="1:9">
      <c r="A15" s="105" t="s">
        <v>70</v>
      </c>
      <c r="B15" s="105"/>
      <c r="C15" s="105"/>
      <c r="D15" s="105"/>
      <c r="E15" s="105"/>
    </row>
    <row r="16" spans="1:9">
      <c r="A16" t="s">
        <v>71</v>
      </c>
    </row>
    <row r="17" spans="1:1">
      <c r="A17" t="s">
        <v>72</v>
      </c>
    </row>
    <row r="18" spans="1:1">
      <c r="A18" t="s">
        <v>73</v>
      </c>
    </row>
    <row r="19" spans="1:1">
      <c r="A19" t="s">
        <v>74</v>
      </c>
    </row>
    <row r="20" spans="1:1">
      <c r="A20" t="s">
        <v>75</v>
      </c>
    </row>
    <row r="21" spans="1:1">
      <c r="A21" t="s">
        <v>76</v>
      </c>
    </row>
    <row r="22" spans="1:1">
      <c r="A22" t="s">
        <v>77</v>
      </c>
    </row>
    <row r="23" spans="1:1">
      <c r="A23" t="s">
        <v>78</v>
      </c>
    </row>
    <row r="24" spans="1:1">
      <c r="A24" t="s">
        <v>79</v>
      </c>
    </row>
    <row r="25" spans="1:1">
      <c r="A25" t="s">
        <v>80</v>
      </c>
    </row>
    <row r="26" spans="1:1">
      <c r="A26" t="s">
        <v>81</v>
      </c>
    </row>
  </sheetData>
  <mergeCells count="1">
    <mergeCell ref="A15:E15"/>
  </mergeCells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9"/>
  <sheetViews>
    <sheetView zoomScaleNormal="100" workbookViewId="0"/>
  </sheetViews>
  <sheetFormatPr baseColWidth="10" defaultColWidth="8.6640625" defaultRowHeight="14.4"/>
  <sheetData>
    <row r="1" spans="1:16" ht="15" customHeight="1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</row>
    <row r="2" spans="1:16" ht="15" customHeight="1">
      <c r="A2">
        <v>1</v>
      </c>
    </row>
    <row r="3" spans="1:16" ht="15" customHeight="1">
      <c r="A3">
        <v>2</v>
      </c>
      <c r="N3" t="s">
        <v>30</v>
      </c>
    </row>
    <row r="4" spans="1:16" ht="15" customHeight="1">
      <c r="A4">
        <v>3</v>
      </c>
      <c r="B4" t="s">
        <v>2</v>
      </c>
    </row>
    <row r="5" spans="1:16" ht="15" customHeight="1">
      <c r="A5">
        <v>4</v>
      </c>
      <c r="B5" t="s">
        <v>3</v>
      </c>
    </row>
    <row r="6" spans="1:16" ht="15" customHeight="1">
      <c r="A6">
        <v>5</v>
      </c>
      <c r="K6" t="s">
        <v>13</v>
      </c>
    </row>
    <row r="7" spans="1:16" ht="15" customHeight="1">
      <c r="A7">
        <v>6</v>
      </c>
      <c r="B7" t="s">
        <v>4</v>
      </c>
    </row>
    <row r="8" spans="1:16" ht="15" customHeight="1">
      <c r="A8">
        <v>7</v>
      </c>
      <c r="N8" t="s">
        <v>31</v>
      </c>
    </row>
    <row r="9" spans="1:16" ht="15" customHeight="1">
      <c r="A9">
        <v>8</v>
      </c>
      <c r="H9" t="s">
        <v>9</v>
      </c>
    </row>
    <row r="10" spans="1:16" ht="15" customHeight="1">
      <c r="A10">
        <v>9</v>
      </c>
    </row>
    <row r="11" spans="1:16" ht="15" customHeight="1">
      <c r="A11">
        <v>10</v>
      </c>
      <c r="B11" t="s">
        <v>5</v>
      </c>
      <c r="K11" t="s">
        <v>3</v>
      </c>
    </row>
    <row r="12" spans="1:16" ht="15" customHeight="1">
      <c r="A12">
        <v>11</v>
      </c>
    </row>
    <row r="13" spans="1:16" ht="15" customHeight="1">
      <c r="A13">
        <v>12</v>
      </c>
      <c r="N13" t="s">
        <v>32</v>
      </c>
    </row>
    <row r="14" spans="1:16" ht="15" customHeight="1">
      <c r="A14">
        <v>13</v>
      </c>
      <c r="B14" t="s">
        <v>6</v>
      </c>
      <c r="C14" t="s">
        <v>10</v>
      </c>
      <c r="D14" t="s">
        <v>11</v>
      </c>
      <c r="K14" t="s">
        <v>28</v>
      </c>
      <c r="N14" t="s">
        <v>28</v>
      </c>
    </row>
    <row r="15" spans="1:16" ht="15" customHeight="1">
      <c r="A15">
        <v>14</v>
      </c>
      <c r="E15" t="s">
        <v>13</v>
      </c>
      <c r="K15" t="s">
        <v>6</v>
      </c>
    </row>
    <row r="16" spans="1:16" ht="15" customHeight="1">
      <c r="A16">
        <v>15</v>
      </c>
      <c r="H16" t="s">
        <v>22</v>
      </c>
    </row>
    <row r="17" spans="1:14" ht="15" customHeight="1">
      <c r="A17">
        <v>16</v>
      </c>
      <c r="H17" t="s">
        <v>3</v>
      </c>
    </row>
    <row r="18" spans="1:14" ht="15" customHeight="1">
      <c r="A18">
        <v>17</v>
      </c>
      <c r="B18" t="s">
        <v>11</v>
      </c>
      <c r="E18" t="s">
        <v>9</v>
      </c>
      <c r="K18" t="s">
        <v>28</v>
      </c>
      <c r="N18" t="s">
        <v>28</v>
      </c>
    </row>
    <row r="19" spans="1:14" ht="15" customHeight="1">
      <c r="A19">
        <v>18</v>
      </c>
      <c r="B19" t="s">
        <v>7</v>
      </c>
      <c r="C19" t="s">
        <v>10</v>
      </c>
      <c r="N19" t="s">
        <v>6</v>
      </c>
    </row>
    <row r="20" spans="1:14" ht="15" customHeight="1">
      <c r="A20">
        <v>19</v>
      </c>
      <c r="K20" t="s">
        <v>24</v>
      </c>
    </row>
    <row r="21" spans="1:14" ht="15" customHeight="1">
      <c r="A21">
        <v>20</v>
      </c>
      <c r="H21" t="s">
        <v>18</v>
      </c>
    </row>
    <row r="22" spans="1:14" ht="15" customHeight="1">
      <c r="A22">
        <v>21</v>
      </c>
      <c r="E22" t="s">
        <v>6</v>
      </c>
      <c r="K22" t="s">
        <v>28</v>
      </c>
      <c r="N22" t="s">
        <v>28</v>
      </c>
    </row>
    <row r="23" spans="1:14" ht="15" customHeight="1">
      <c r="A23">
        <v>22</v>
      </c>
      <c r="B23" t="s">
        <v>8</v>
      </c>
    </row>
    <row r="24" spans="1:14" ht="15" customHeight="1">
      <c r="A24">
        <v>23</v>
      </c>
      <c r="B24" t="s">
        <v>10</v>
      </c>
    </row>
    <row r="25" spans="1:14" ht="15" customHeight="1">
      <c r="A25">
        <v>24</v>
      </c>
      <c r="H25" t="s">
        <v>19</v>
      </c>
      <c r="N25" t="s">
        <v>4</v>
      </c>
    </row>
    <row r="26" spans="1:14" ht="15" customHeight="1">
      <c r="A26">
        <v>25</v>
      </c>
      <c r="B26" t="s">
        <v>11</v>
      </c>
      <c r="H26" t="s">
        <v>22</v>
      </c>
      <c r="K26" t="s">
        <v>28</v>
      </c>
      <c r="N26" t="s">
        <v>28</v>
      </c>
    </row>
    <row r="27" spans="1:14" ht="15" customHeight="1">
      <c r="A27">
        <v>26</v>
      </c>
    </row>
    <row r="28" spans="1:14" ht="15" customHeight="1">
      <c r="A28">
        <v>27</v>
      </c>
      <c r="B28" t="s">
        <v>10</v>
      </c>
      <c r="K28" t="s">
        <v>6</v>
      </c>
    </row>
    <row r="29" spans="1:14" ht="15" customHeight="1">
      <c r="A29">
        <v>28</v>
      </c>
      <c r="K29" t="s">
        <v>25</v>
      </c>
    </row>
    <row r="30" spans="1:14" ht="15" customHeight="1">
      <c r="A30">
        <v>29</v>
      </c>
      <c r="B30" t="s">
        <v>11</v>
      </c>
      <c r="K30" t="s">
        <v>28</v>
      </c>
      <c r="N30" t="s">
        <v>28</v>
      </c>
    </row>
    <row r="31" spans="1:14" ht="15" customHeight="1">
      <c r="A31">
        <v>30</v>
      </c>
      <c r="E31" t="s">
        <v>14</v>
      </c>
      <c r="N31" t="s">
        <v>8</v>
      </c>
    </row>
    <row r="32" spans="1:14" ht="15" customHeight="1">
      <c r="A32">
        <v>31</v>
      </c>
      <c r="B32" t="s">
        <v>10</v>
      </c>
    </row>
    <row r="33" spans="1:14" ht="15" customHeight="1">
      <c r="A33">
        <v>32</v>
      </c>
      <c r="H33" t="s">
        <v>20</v>
      </c>
    </row>
    <row r="34" spans="1:14" ht="15" customHeight="1">
      <c r="A34">
        <v>33</v>
      </c>
      <c r="B34" t="s">
        <v>11</v>
      </c>
      <c r="K34" t="s">
        <v>28</v>
      </c>
      <c r="N34" t="s">
        <v>28</v>
      </c>
    </row>
    <row r="35" spans="1:14" ht="15" customHeight="1">
      <c r="A35">
        <v>34</v>
      </c>
      <c r="N35" t="s">
        <v>6</v>
      </c>
    </row>
    <row r="36" spans="1:14" ht="15" customHeight="1">
      <c r="A36">
        <v>35</v>
      </c>
      <c r="K36" t="s">
        <v>26</v>
      </c>
    </row>
    <row r="37" spans="1:14" ht="15" customHeight="1">
      <c r="A37">
        <v>36</v>
      </c>
      <c r="B37" t="s">
        <v>10</v>
      </c>
      <c r="H37" t="s">
        <v>21</v>
      </c>
    </row>
    <row r="38" spans="1:14" ht="15" customHeight="1">
      <c r="A38">
        <v>37</v>
      </c>
      <c r="B38" t="s">
        <v>11</v>
      </c>
      <c r="E38" t="s">
        <v>15</v>
      </c>
      <c r="K38" t="s">
        <v>28</v>
      </c>
      <c r="N38" t="s">
        <v>28</v>
      </c>
    </row>
    <row r="39" spans="1:14" ht="15" customHeight="1">
      <c r="A39">
        <v>38</v>
      </c>
      <c r="N39" t="s">
        <v>33</v>
      </c>
    </row>
    <row r="40" spans="1:14" ht="15" customHeight="1">
      <c r="A40">
        <v>39</v>
      </c>
      <c r="H40" t="s">
        <v>22</v>
      </c>
    </row>
    <row r="41" spans="1:14" ht="15" customHeight="1">
      <c r="A41">
        <v>40</v>
      </c>
      <c r="B41" t="s">
        <v>10</v>
      </c>
      <c r="K41" t="s">
        <v>6</v>
      </c>
      <c r="L41" t="s">
        <v>27</v>
      </c>
    </row>
    <row r="42" spans="1:14" ht="15" customHeight="1">
      <c r="A42">
        <v>41</v>
      </c>
      <c r="B42" t="s">
        <v>11</v>
      </c>
      <c r="K42" t="s">
        <v>28</v>
      </c>
      <c r="N42" t="s">
        <v>28</v>
      </c>
    </row>
    <row r="43" spans="1:14" ht="15" customHeight="1">
      <c r="A43">
        <v>42</v>
      </c>
    </row>
    <row r="44" spans="1:14" ht="15" customHeight="1">
      <c r="A44">
        <v>43</v>
      </c>
    </row>
    <row r="45" spans="1:14" ht="15" customHeight="1">
      <c r="A45">
        <v>44</v>
      </c>
      <c r="B45" t="s">
        <v>10</v>
      </c>
      <c r="N45" t="s">
        <v>34</v>
      </c>
    </row>
    <row r="46" spans="1:14" ht="15" customHeight="1">
      <c r="A46">
        <v>45</v>
      </c>
      <c r="B46" t="s">
        <v>11</v>
      </c>
      <c r="E46" t="s">
        <v>16</v>
      </c>
      <c r="K46" t="s">
        <v>28</v>
      </c>
      <c r="N46" t="s">
        <v>28</v>
      </c>
    </row>
    <row r="47" spans="1:14" ht="15" customHeight="1">
      <c r="A47">
        <v>46</v>
      </c>
    </row>
    <row r="48" spans="1:14" ht="15" customHeight="1">
      <c r="A48">
        <v>47</v>
      </c>
    </row>
    <row r="49" spans="1:1" ht="15" customHeight="1">
      <c r="A49">
        <v>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D89E70-421C-409E-981B-4DD55544B4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</vt:i4>
      </vt:variant>
    </vt:vector>
  </HeadingPairs>
  <TitlesOfParts>
    <vt:vector size="11" baseType="lpstr">
      <vt:lpstr>DasbhboardPrevencionista</vt:lpstr>
      <vt:lpstr>Planificación Anual</vt:lpstr>
      <vt:lpstr>Vista Mensual</vt:lpstr>
      <vt:lpstr>Vista Semanal</vt:lpstr>
      <vt:lpstr>Accidentes</vt:lpstr>
      <vt:lpstr>Listas</vt:lpstr>
      <vt:lpstr>_Lookup</vt:lpstr>
      <vt:lpstr>DasbhboardPrevencionista!Área_de_impresión</vt:lpstr>
      <vt:lpstr>'Planificación Anual'!Área_de_impresión</vt:lpstr>
      <vt:lpstr>'Vista Mensual'!Área_de_impresión</vt:lpstr>
      <vt:lpstr>'Vista Semanal'!Área_de_impresión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Fede</dc:creator>
  <dc:description/>
  <cp:lastModifiedBy>federico Ramallo contreras</cp:lastModifiedBy>
  <cp:revision>0</cp:revision>
  <cp:lastPrinted>2026-03-30T16:23:00Z</cp:lastPrinted>
  <dcterms:created xsi:type="dcterms:W3CDTF">2024-10-23T23:18:56Z</dcterms:created>
  <dcterms:modified xsi:type="dcterms:W3CDTF">2026-04-14T09:25:09Z</dcterms:modified>
  <dc:language>en-US</dc:language>
</cp:coreProperties>
</file>